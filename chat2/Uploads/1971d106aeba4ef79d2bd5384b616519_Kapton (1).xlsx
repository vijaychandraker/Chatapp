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5090" yWindow="120" windowWidth="13710" windowHeight="12195"/>
  </bookViews>
  <sheets>
    <sheet name=" Zone 4 Aug-25 " sheetId="58" r:id="rId1"/>
    <sheet name=" Zone 5 Aug-25 " sheetId="59" r:id="rId2"/>
  </sheets>
  <definedNames>
    <definedName name="_xlnm.Print_Area" localSheetId="0">' Zone 4 Aug-25 '!$B$8:$F$37</definedName>
    <definedName name="_xlnm.Print_Area" localSheetId="1">' Zone 5 Aug-25 '!$B$8:$F$37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58"/>
  <c r="F29"/>
  <c r="F10"/>
  <c r="F11"/>
  <c r="D18"/>
  <c r="F30" i="59" l="1"/>
  <c r="F32"/>
  <c r="F24"/>
  <c r="F25"/>
  <c r="F26"/>
  <c r="F11"/>
  <c r="F12"/>
  <c r="F13"/>
  <c r="F14"/>
  <c r="F15"/>
  <c r="F10"/>
  <c r="L21"/>
  <c r="L20"/>
  <c r="G11" l="1"/>
  <c r="G10"/>
  <c r="G10" i="58"/>
  <c r="F32"/>
  <c r="F12"/>
  <c r="F13"/>
  <c r="F14"/>
  <c r="F15"/>
  <c r="G15" s="1"/>
  <c r="J23"/>
  <c r="D19"/>
  <c r="G11"/>
  <c r="G12"/>
  <c r="G13"/>
  <c r="F24"/>
  <c r="F25"/>
  <c r="F26"/>
  <c r="F28"/>
  <c r="H28" i="59"/>
  <c r="D28"/>
  <c r="J28" s="1"/>
  <c r="H27"/>
  <c r="D27"/>
  <c r="J27" s="1"/>
  <c r="H26"/>
  <c r="D26"/>
  <c r="J26" s="1"/>
  <c r="M25"/>
  <c r="H25"/>
  <c r="D25"/>
  <c r="J25" s="1"/>
  <c r="M24"/>
  <c r="H24"/>
  <c r="D24"/>
  <c r="J24" s="1"/>
  <c r="M23"/>
  <c r="H23"/>
  <c r="F23"/>
  <c r="D23"/>
  <c r="J23" s="1"/>
  <c r="M21"/>
  <c r="N21" s="1"/>
  <c r="M20"/>
  <c r="N20" s="1"/>
  <c r="F20"/>
  <c r="D20"/>
  <c r="J20" s="1"/>
  <c r="L19"/>
  <c r="M19" s="1"/>
  <c r="N19" s="1"/>
  <c r="F19"/>
  <c r="D19"/>
  <c r="J19" s="1"/>
  <c r="F18"/>
  <c r="F21" s="1"/>
  <c r="H21" s="1"/>
  <c r="D18"/>
  <c r="J15"/>
  <c r="N15" s="1"/>
  <c r="G15"/>
  <c r="J14"/>
  <c r="N14" s="1"/>
  <c r="G14"/>
  <c r="J13"/>
  <c r="L13" s="1"/>
  <c r="G13"/>
  <c r="J12"/>
  <c r="N12" s="1"/>
  <c r="G12"/>
  <c r="J11"/>
  <c r="N11" s="1"/>
  <c r="J10"/>
  <c r="N10" s="1"/>
  <c r="M62" i="58"/>
  <c r="M61"/>
  <c r="M60"/>
  <c r="I28"/>
  <c r="H28"/>
  <c r="D28"/>
  <c r="J28" s="1"/>
  <c r="J27"/>
  <c r="I27"/>
  <c r="H27"/>
  <c r="D27"/>
  <c r="I26"/>
  <c r="H26"/>
  <c r="D26"/>
  <c r="J26" s="1"/>
  <c r="M25"/>
  <c r="J25"/>
  <c r="I25"/>
  <c r="H25"/>
  <c r="D25"/>
  <c r="M24"/>
  <c r="I24"/>
  <c r="H24"/>
  <c r="D24"/>
  <c r="J24" s="1"/>
  <c r="M23"/>
  <c r="I23"/>
  <c r="H23"/>
  <c r="F23"/>
  <c r="D23"/>
  <c r="L20"/>
  <c r="M20" s="1"/>
  <c r="N20" s="1"/>
  <c r="G20"/>
  <c r="F20"/>
  <c r="D20"/>
  <c r="J20" s="1"/>
  <c r="L19"/>
  <c r="M19" s="1"/>
  <c r="N19" s="1"/>
  <c r="J19"/>
  <c r="G19"/>
  <c r="L18"/>
  <c r="M18" s="1"/>
  <c r="N18" s="1"/>
  <c r="G18"/>
  <c r="F18"/>
  <c r="J18"/>
  <c r="J15"/>
  <c r="L15" s="1"/>
  <c r="L14"/>
  <c r="J14"/>
  <c r="N14" s="1"/>
  <c r="G14"/>
  <c r="J13"/>
  <c r="N13" s="1"/>
  <c r="J12"/>
  <c r="N12" s="1"/>
  <c r="J11"/>
  <c r="N11" s="1"/>
  <c r="L10"/>
  <c r="J10"/>
  <c r="N10" s="1"/>
  <c r="H29" i="59" l="1"/>
  <c r="F29"/>
  <c r="L12"/>
  <c r="L10"/>
  <c r="F16"/>
  <c r="D51" s="1"/>
  <c r="D52" s="1"/>
  <c r="N13"/>
  <c r="L14"/>
  <c r="G16"/>
  <c r="G32" s="1"/>
  <c r="F21" i="58"/>
  <c r="L12"/>
  <c r="F16"/>
  <c r="I16" s="1"/>
  <c r="I29"/>
  <c r="G16"/>
  <c r="G32" s="1"/>
  <c r="N15"/>
  <c r="L13"/>
  <c r="L11"/>
  <c r="L11" i="59"/>
  <c r="P19" s="1"/>
  <c r="L15"/>
  <c r="F31" l="1"/>
  <c r="F31" i="58"/>
  <c r="F33" i="59" l="1"/>
  <c r="K38" s="1"/>
  <c r="C51"/>
  <c r="C53" s="1"/>
  <c r="C54" s="1"/>
  <c r="C56" s="1"/>
  <c r="F33" i="58"/>
  <c r="F34" s="1"/>
  <c r="F36" s="1"/>
  <c r="F34" i="59" l="1"/>
  <c r="F39" s="1"/>
  <c r="F40" i="58"/>
  <c r="F39"/>
  <c r="F35"/>
  <c r="F37" s="1"/>
  <c r="F38"/>
  <c r="F38" i="59" l="1"/>
  <c r="F35"/>
  <c r="F40"/>
  <c r="F36"/>
  <c r="F41" i="58"/>
  <c r="I41" s="1"/>
  <c r="H37"/>
  <c r="F37" i="59" l="1"/>
  <c r="I37" s="1"/>
  <c r="F41" l="1"/>
  <c r="K41" s="1"/>
  <c r="H41" l="1"/>
</calcChain>
</file>

<file path=xl/sharedStrings.xml><?xml version="1.0" encoding="utf-8"?>
<sst xmlns="http://schemas.openxmlformats.org/spreadsheetml/2006/main" count="119" uniqueCount="62">
  <si>
    <t>PARTICULARS</t>
  </si>
  <si>
    <t>Rate / Pay Per Month</t>
  </si>
  <si>
    <t>Head Count</t>
  </si>
  <si>
    <t>Duties</t>
  </si>
  <si>
    <t>Amount(Rs)</t>
  </si>
  <si>
    <t>TOTAL (A)</t>
  </si>
  <si>
    <t>OT Rate/ Hr.</t>
  </si>
  <si>
    <t>Total OT Hrs.</t>
  </si>
  <si>
    <t>TOTAL (B)</t>
  </si>
  <si>
    <t xml:space="preserve"> </t>
  </si>
  <si>
    <t>GRAND TOTAL - (Rounded off)</t>
  </si>
  <si>
    <t>CHIEF SALESMAN (Office)</t>
  </si>
  <si>
    <t>CHIEF SALESMAN (Shop)</t>
  </si>
  <si>
    <t>SALESMAN (Shop)</t>
  </si>
  <si>
    <t>MULTIPURPOSE (Office)</t>
  </si>
  <si>
    <t>MULTIPURPOSE (Shop)</t>
  </si>
  <si>
    <r>
      <t xml:space="preserve">ESIC </t>
    </r>
    <r>
      <rPr>
        <sz val="11"/>
        <color indexed="8"/>
        <rFont val="Book Antiqua"/>
        <family val="1"/>
      </rPr>
      <t>(C )</t>
    </r>
  </si>
  <si>
    <t>AGENCY CHARGES  (C )</t>
  </si>
  <si>
    <t>Zone-4</t>
  </si>
  <si>
    <t>Zone-5</t>
  </si>
  <si>
    <t>SALESMAN (Office)</t>
  </si>
  <si>
    <t>TOTAL (C)</t>
  </si>
  <si>
    <t>INVOICE</t>
  </si>
  <si>
    <t>Per day Rate</t>
  </si>
  <si>
    <t>TOTAL (E) (D+ ESI+EPF+AGENCY CHARGES)</t>
  </si>
  <si>
    <t>ADD: CGST (E)</t>
  </si>
  <si>
    <t>ADD: SGST (E)</t>
  </si>
  <si>
    <r>
      <t>LESS :</t>
    </r>
    <r>
      <rPr>
        <sz val="11"/>
        <color rgb="FF000000"/>
        <rFont val="Calibri"/>
        <family val="2"/>
      </rPr>
      <t xml:space="preserve"> TDS </t>
    </r>
    <r>
      <rPr>
        <b/>
        <sz val="11"/>
        <color rgb="FF000000"/>
        <rFont val="Calibri"/>
        <family val="2"/>
      </rPr>
      <t xml:space="preserve">on (E) </t>
    </r>
  </si>
  <si>
    <r>
      <t>LESS :</t>
    </r>
    <r>
      <rPr>
        <sz val="11"/>
        <color rgb="FF000000"/>
        <rFont val="Calibri"/>
        <family val="2"/>
      </rPr>
      <t xml:space="preserve"> CGST  on  (E) </t>
    </r>
  </si>
  <si>
    <r>
      <t>LESS :</t>
    </r>
    <r>
      <rPr>
        <sz val="11"/>
        <color rgb="FF000000"/>
        <rFont val="Calibri"/>
        <family val="2"/>
      </rPr>
      <t xml:space="preserve"> SGST  on (E) </t>
    </r>
  </si>
  <si>
    <t xml:space="preserve"> TOTAL - D (A)+(B)</t>
  </si>
  <si>
    <t>Total Week off 4 Days</t>
  </si>
  <si>
    <t>konda</t>
  </si>
  <si>
    <t>nara</t>
  </si>
  <si>
    <t>balod</t>
  </si>
  <si>
    <t>kanker</t>
  </si>
  <si>
    <t>mmc</t>
  </si>
  <si>
    <t>cs</t>
  </si>
  <si>
    <t>s</t>
  </si>
  <si>
    <t>m</t>
  </si>
  <si>
    <t xml:space="preserve">Total OT Hrs. </t>
  </si>
  <si>
    <t>GRAND TOTAL - F (D+GST)</t>
  </si>
  <si>
    <t>12 izfr'kr csfld</t>
  </si>
  <si>
    <t>0-75 izfr'kr dqy ¼bZ½ ls</t>
  </si>
  <si>
    <t>ns;d ds vk/kkj ij deZpkfj;ks dks dh tkus okyh Hkqxrku jkf'k</t>
  </si>
  <si>
    <t xml:space="preserve">QeZ }kjk deZpkfj;ks dks dh xbZ Hkqxrku jkf'k </t>
  </si>
  <si>
    <t>varj dh 'ks"k jkf'k</t>
  </si>
  <si>
    <t>Ø-</t>
  </si>
  <si>
    <t>12 izfr'kr dqy csfld ¼,½</t>
  </si>
  <si>
    <t>dqy jkf'k ¼bZ½</t>
  </si>
  <si>
    <t>ekg vDVwcj 2024 
¼tksu Øekad 4 ,oa 5½</t>
  </si>
  <si>
    <t>EPF 13%</t>
  </si>
  <si>
    <t>MULTIPURPOSE  (Office)</t>
  </si>
  <si>
    <t>Rs. 15000/- EPF ON Rs. 4383874/-</t>
  </si>
  <si>
    <t>Rs. 15000/- EPF ON Rs. 3217113/-</t>
  </si>
  <si>
    <r>
      <t xml:space="preserve">ESIC </t>
    </r>
    <r>
      <rPr>
        <sz val="11"/>
        <color indexed="8"/>
        <rFont val="Book Antiqua"/>
        <family val="1"/>
      </rPr>
      <t>(D )</t>
    </r>
  </si>
  <si>
    <t>District</t>
  </si>
  <si>
    <t>Zone</t>
  </si>
  <si>
    <t>Azency</t>
  </si>
  <si>
    <t>Month</t>
  </si>
  <si>
    <t>FY</t>
  </si>
  <si>
    <t xml:space="preserve"> TOTAL - D (A)+(B)+(C)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</si>
</sst>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&gt;=10000000]##\,##\,##\,##0;[&gt;=100000]\ ##\,##\,##0;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Book Antiqua"/>
      <family val="1"/>
    </font>
    <font>
      <b/>
      <sz val="10"/>
      <color indexed="8"/>
      <name val="Book Antiqua"/>
      <family val="1"/>
    </font>
    <font>
      <b/>
      <sz val="11"/>
      <color indexed="8"/>
      <name val="Book Antiqua"/>
      <family val="1"/>
    </font>
    <font>
      <sz val="11"/>
      <color indexed="8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sz val="10"/>
      <name val="Book Antiqua"/>
      <family val="1"/>
    </font>
    <font>
      <b/>
      <sz val="11"/>
      <color theme="1"/>
      <name val="Book Antiqua"/>
      <family val="1"/>
    </font>
    <font>
      <b/>
      <sz val="10"/>
      <name val="Book Antiqua"/>
      <family val="1"/>
    </font>
    <font>
      <b/>
      <u/>
      <sz val="11"/>
      <color theme="1"/>
      <name val="Calibri"/>
      <family val="2"/>
      <scheme val="minor"/>
    </font>
    <font>
      <b/>
      <u/>
      <sz val="18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indexed="8"/>
      <name val="Kruti Dev 010"/>
    </font>
    <font>
      <sz val="10"/>
      <color rgb="FF000000"/>
      <name val="Times New Roman"/>
      <family val="1"/>
    </font>
    <font>
      <sz val="16"/>
      <color indexed="8"/>
      <name val="Kruti Dev 010"/>
    </font>
    <font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Book Antiqua"/>
      <family val="1"/>
    </font>
    <font>
      <b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</cellStyleXfs>
  <cellXfs count="107">
    <xf numFmtId="0" fontId="0" fillId="0" borderId="0" xfId="0"/>
    <xf numFmtId="0" fontId="0" fillId="0" borderId="1" xfId="0" applyBorder="1"/>
    <xf numFmtId="0" fontId="3" fillId="0" borderId="4" xfId="2" applyFont="1" applyBorder="1"/>
    <xf numFmtId="0" fontId="3" fillId="0" borderId="0" xfId="2" applyFont="1"/>
    <xf numFmtId="0" fontId="3" fillId="0" borderId="5" xfId="2" applyFont="1" applyBorder="1"/>
    <xf numFmtId="0" fontId="3" fillId="0" borderId="0" xfId="2" applyFont="1" applyBorder="1"/>
    <xf numFmtId="0" fontId="4" fillId="0" borderId="5" xfId="2" applyFont="1" applyBorder="1"/>
    <xf numFmtId="0" fontId="3" fillId="0" borderId="6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6" xfId="2" applyFont="1" applyBorder="1"/>
    <xf numFmtId="0" fontId="3" fillId="0" borderId="7" xfId="2" applyFont="1" applyBorder="1" applyAlignment="1">
      <alignment vertical="center"/>
    </xf>
    <xf numFmtId="0" fontId="3" fillId="0" borderId="8" xfId="2" applyFont="1" applyBorder="1" applyAlignment="1">
      <alignment horizontal="center" vertical="center" wrapText="1"/>
    </xf>
    <xf numFmtId="164" fontId="4" fillId="0" borderId="0" xfId="1" applyNumberFormat="1" applyFont="1"/>
    <xf numFmtId="0" fontId="4" fillId="0" borderId="0" xfId="2" applyFont="1"/>
    <xf numFmtId="0" fontId="3" fillId="0" borderId="1" xfId="2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/>
    </xf>
    <xf numFmtId="0" fontId="3" fillId="0" borderId="6" xfId="2" applyFont="1" applyBorder="1" applyAlignment="1">
      <alignment vertical="center"/>
    </xf>
    <xf numFmtId="0" fontId="4" fillId="0" borderId="6" xfId="2" applyFont="1" applyBorder="1" applyAlignment="1"/>
    <xf numFmtId="164" fontId="4" fillId="0" borderId="0" xfId="1" applyNumberFormat="1" applyFont="1" applyAlignment="1"/>
    <xf numFmtId="0" fontId="4" fillId="0" borderId="0" xfId="2" applyFont="1" applyAlignment="1"/>
    <xf numFmtId="0" fontId="4" fillId="0" borderId="6" xfId="2" applyFont="1" applyBorder="1" applyAlignment="1">
      <alignment vertical="center"/>
    </xf>
    <xf numFmtId="0" fontId="4" fillId="0" borderId="0" xfId="2" applyFont="1" applyAlignment="1">
      <alignment vertical="center"/>
    </xf>
    <xf numFmtId="165" fontId="3" fillId="0" borderId="0" xfId="2" applyNumberFormat="1" applyFont="1"/>
    <xf numFmtId="0" fontId="12" fillId="0" borderId="0" xfId="0" applyFont="1" applyFill="1" applyBorder="1" applyAlignment="1">
      <alignment vertical="center"/>
    </xf>
    <xf numFmtId="0" fontId="4" fillId="0" borderId="0" xfId="2" applyFont="1" applyFill="1" applyBorder="1" applyAlignment="1">
      <alignment vertical="center" wrapText="1"/>
    </xf>
    <xf numFmtId="43" fontId="4" fillId="0" borderId="0" xfId="1" applyFont="1" applyFill="1" applyBorder="1" applyAlignment="1">
      <alignment horizontal="center" vertical="center" wrapText="1"/>
    </xf>
    <xf numFmtId="165" fontId="1" fillId="0" borderId="0" xfId="1" applyNumberFormat="1" applyFont="1" applyBorder="1"/>
    <xf numFmtId="0" fontId="3" fillId="0" borderId="0" xfId="2" applyFont="1" applyAlignment="1">
      <alignment horizontal="center"/>
    </xf>
    <xf numFmtId="0" fontId="4" fillId="0" borderId="1" xfId="2" applyFont="1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4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vertical="center"/>
    </xf>
    <xf numFmtId="165" fontId="7" fillId="0" borderId="1" xfId="1" applyNumberFormat="1" applyFont="1" applyBorder="1"/>
    <xf numFmtId="165" fontId="10" fillId="0" borderId="1" xfId="1" applyNumberFormat="1" applyFont="1" applyBorder="1"/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top" wrapText="1"/>
    </xf>
    <xf numFmtId="165" fontId="4" fillId="0" borderId="1" xfId="2" applyNumberFormat="1" applyFont="1" applyBorder="1" applyAlignment="1">
      <alignment horizontal="center" vertical="top" wrapText="1"/>
    </xf>
    <xf numFmtId="10" fontId="3" fillId="0" borderId="1" xfId="5" applyNumberFormat="1" applyFont="1" applyBorder="1" applyAlignment="1">
      <alignment horizontal="center"/>
    </xf>
    <xf numFmtId="9" fontId="3" fillId="0" borderId="1" xfId="5" applyFont="1" applyBorder="1" applyAlignment="1">
      <alignment horizontal="center"/>
    </xf>
    <xf numFmtId="9" fontId="6" fillId="0" borderId="1" xfId="5" applyFont="1" applyBorder="1" applyAlignment="1">
      <alignment horizontal="center"/>
    </xf>
    <xf numFmtId="9" fontId="0" fillId="0" borderId="1" xfId="5" applyFont="1" applyBorder="1" applyAlignment="1">
      <alignment horizontal="center"/>
    </xf>
    <xf numFmtId="165" fontId="4" fillId="0" borderId="0" xfId="2" applyNumberFormat="1" applyFont="1"/>
    <xf numFmtId="165" fontId="0" fillId="0" borderId="0" xfId="1" applyNumberFormat="1" applyFont="1" applyBorder="1"/>
    <xf numFmtId="0" fontId="18" fillId="0" borderId="1" xfId="2" applyFont="1" applyBorder="1"/>
    <xf numFmtId="165" fontId="20" fillId="0" borderId="1" xfId="2" applyNumberFormat="1" applyFont="1" applyBorder="1"/>
    <xf numFmtId="0" fontId="3" fillId="0" borderId="1" xfId="2" applyFont="1" applyBorder="1" applyAlignment="1">
      <alignment horizontal="center"/>
    </xf>
    <xf numFmtId="0" fontId="18" fillId="0" borderId="1" xfId="2" applyFont="1" applyBorder="1" applyAlignment="1">
      <alignment wrapText="1"/>
    </xf>
    <xf numFmtId="0" fontId="18" fillId="0" borderId="1" xfId="2" applyFont="1" applyBorder="1" applyAlignment="1">
      <alignment vertical="top" wrapText="1"/>
    </xf>
    <xf numFmtId="0" fontId="21" fillId="0" borderId="1" xfId="2" applyFont="1" applyBorder="1" applyAlignment="1">
      <alignment horizontal="center"/>
    </xf>
    <xf numFmtId="0" fontId="19" fillId="0" borderId="1" xfId="2" applyFont="1" applyBorder="1"/>
    <xf numFmtId="165" fontId="21" fillId="0" borderId="1" xfId="2" applyNumberFormat="1" applyFont="1" applyBorder="1" applyAlignment="1">
      <alignment horizontal="center"/>
    </xf>
    <xf numFmtId="165" fontId="20" fillId="0" borderId="1" xfId="2" applyNumberFormat="1" applyFont="1" applyBorder="1" applyAlignment="1">
      <alignment vertical="center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165" fontId="22" fillId="0" borderId="1" xfId="2" applyNumberFormat="1" applyFont="1" applyBorder="1"/>
    <xf numFmtId="10" fontId="0" fillId="0" borderId="1" xfId="5" applyNumberFormat="1" applyFont="1" applyBorder="1" applyAlignment="1">
      <alignment horizontal="center"/>
    </xf>
    <xf numFmtId="164" fontId="4" fillId="0" borderId="0" xfId="2" applyNumberFormat="1" applyFont="1" applyAlignment="1"/>
    <xf numFmtId="165" fontId="7" fillId="2" borderId="1" xfId="1" applyNumberFormat="1" applyFont="1" applyFill="1" applyBorder="1"/>
    <xf numFmtId="0" fontId="13" fillId="2" borderId="0" xfId="4" applyFont="1" applyFill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top" wrapText="1"/>
    </xf>
    <xf numFmtId="165" fontId="7" fillId="0" borderId="0" xfId="1" applyNumberFormat="1" applyFont="1" applyBorder="1"/>
    <xf numFmtId="165" fontId="10" fillId="0" borderId="0" xfId="1" applyNumberFormat="1" applyFont="1" applyBorder="1"/>
    <xf numFmtId="165" fontId="4" fillId="0" borderId="0" xfId="2" applyNumberFormat="1" applyFont="1" applyBorder="1" applyAlignment="1">
      <alignment horizontal="center" vertical="center" wrapText="1"/>
    </xf>
    <xf numFmtId="165" fontId="7" fillId="2" borderId="0" xfId="1" applyNumberFormat="1" applyFont="1" applyFill="1" applyBorder="1"/>
    <xf numFmtId="0" fontId="0" fillId="2" borderId="1" xfId="0" applyFill="1" applyBorder="1"/>
    <xf numFmtId="0" fontId="9" fillId="2" borderId="1" xfId="3" applyFont="1" applyFill="1" applyBorder="1" applyAlignment="1">
      <alignment horizontal="center"/>
    </xf>
    <xf numFmtId="0" fontId="3" fillId="2" borderId="6" xfId="2" applyFont="1" applyFill="1" applyBorder="1" applyAlignment="1">
      <alignment vertical="center"/>
    </xf>
    <xf numFmtId="165" fontId="10" fillId="2" borderId="1" xfId="1" applyNumberFormat="1" applyFont="1" applyFill="1" applyBorder="1"/>
    <xf numFmtId="0" fontId="4" fillId="2" borderId="1" xfId="2" applyFont="1" applyFill="1" applyBorder="1" applyAlignment="1">
      <alignment vertical="center"/>
    </xf>
    <xf numFmtId="0" fontId="4" fillId="2" borderId="1" xfId="2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vertical="center"/>
    </xf>
    <xf numFmtId="0" fontId="13" fillId="0" borderId="0" xfId="4" applyFont="1" applyBorder="1" applyAlignment="1">
      <alignment horizontal="center" vertical="center"/>
    </xf>
    <xf numFmtId="0" fontId="0" fillId="0" borderId="1" xfId="0" applyFont="1" applyBorder="1"/>
    <xf numFmtId="0" fontId="3" fillId="3" borderId="1" xfId="2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8" xfId="2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/>
    </xf>
    <xf numFmtId="0" fontId="11" fillId="0" borderId="9" xfId="3" applyFont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2" xfId="2" applyFon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13" fillId="0" borderId="0" xfId="4" applyFont="1" applyBorder="1" applyAlignment="1">
      <alignment horizontal="center" vertical="center"/>
    </xf>
    <xf numFmtId="0" fontId="13" fillId="2" borderId="10" xfId="4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16" fillId="0" borderId="2" xfId="2" applyFont="1" applyBorder="1" applyAlignment="1">
      <alignment horizontal="center" vertical="center" wrapText="1"/>
    </xf>
    <xf numFmtId="0" fontId="16" fillId="0" borderId="3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</cellXfs>
  <cellStyles count="7">
    <cellStyle name="Comma" xfId="1" builtinId="3"/>
    <cellStyle name="Excel Built-in Normal" xfId="2"/>
    <cellStyle name="Normal" xfId="0" builtinId="0"/>
    <cellStyle name="Normal 2" xfId="4"/>
    <cellStyle name="Normal 2 2" xfId="3"/>
    <cellStyle name="Normal 3" xfId="6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8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0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2" name="Pictur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30480</xdr:rowOff>
    </xdr:from>
    <xdr:to>
      <xdr:col>2</xdr:col>
      <xdr:colOff>192881</xdr:colOff>
      <xdr:row>5</xdr:row>
      <xdr:rowOff>11787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2324100" cy="8385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8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0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2" name="Pictur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6</xdr:row>
      <xdr:rowOff>9525</xdr:rowOff>
    </xdr:from>
    <xdr:to>
      <xdr:col>5</xdr:col>
      <xdr:colOff>1628775</xdr:colOff>
      <xdr:row>6</xdr:row>
      <xdr:rowOff>19050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047750"/>
          <a:ext cx="8477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30480</xdr:rowOff>
    </xdr:from>
    <xdr:to>
      <xdr:col>2</xdr:col>
      <xdr:colOff>180975</xdr:colOff>
      <xdr:row>5</xdr:row>
      <xdr:rowOff>11787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"/>
          <a:ext cx="2324100" cy="8385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514350</xdr:colOff>
      <xdr:row>43</xdr:row>
      <xdr:rowOff>161925</xdr:rowOff>
    </xdr:from>
    <xdr:to>
      <xdr:col>3</xdr:col>
      <xdr:colOff>390525</xdr:colOff>
      <xdr:row>48</xdr:row>
      <xdr:rowOff>143232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9277350"/>
          <a:ext cx="2324100" cy="8385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6:R74"/>
  <sheetViews>
    <sheetView showGridLines="0" tabSelected="1" zoomScale="80" zoomScaleNormal="80" workbookViewId="0">
      <selection activeCell="O37" sqref="O37"/>
    </sheetView>
  </sheetViews>
  <sheetFormatPr defaultRowHeight="13.5"/>
  <cols>
    <col min="1" max="1" width="4.42578125" style="3" customWidth="1"/>
    <col min="2" max="2" width="27.42578125" style="3" customWidth="1"/>
    <col min="3" max="3" width="12.42578125" style="3" customWidth="1"/>
    <col min="4" max="4" width="15.5703125" style="3" customWidth="1"/>
    <col min="5" max="5" width="17.28515625" style="27" customWidth="1"/>
    <col min="6" max="7" width="13.140625" style="22" customWidth="1"/>
    <col min="8" max="8" width="12.7109375" style="3" bestFit="1" customWidth="1"/>
    <col min="9" max="9" width="10.28515625" style="3" bestFit="1" customWidth="1"/>
    <col min="10" max="10" width="9.28515625" style="3" bestFit="1" customWidth="1"/>
    <col min="11" max="11" width="9.140625" style="3"/>
    <col min="12" max="14" width="9.28515625" style="3" bestFit="1" customWidth="1"/>
    <col min="15" max="180" width="9.140625" style="3"/>
    <col min="181" max="181" width="0" style="3" hidden="1" customWidth="1"/>
    <col min="182" max="182" width="17.7109375" style="3" customWidth="1"/>
    <col min="183" max="183" width="14.28515625" style="3" customWidth="1"/>
    <col min="184" max="184" width="13.7109375" style="3" customWidth="1"/>
    <col min="185" max="185" width="3.5703125" style="3" customWidth="1"/>
    <col min="186" max="186" width="20.42578125" style="3" customWidth="1"/>
    <col min="187" max="187" width="14.42578125" style="3" customWidth="1"/>
    <col min="188" max="188" width="15.5703125" style="3" customWidth="1"/>
    <col min="189" max="189" width="24.5703125" style="3" customWidth="1"/>
    <col min="190" max="198" width="0" style="3" hidden="1" customWidth="1"/>
    <col min="199" max="436" width="9.140625" style="3"/>
    <col min="437" max="437" width="0" style="3" hidden="1" customWidth="1"/>
    <col min="438" max="438" width="17.7109375" style="3" customWidth="1"/>
    <col min="439" max="439" width="14.28515625" style="3" customWidth="1"/>
    <col min="440" max="440" width="13.7109375" style="3" customWidth="1"/>
    <col min="441" max="441" width="3.5703125" style="3" customWidth="1"/>
    <col min="442" max="442" width="20.42578125" style="3" customWidth="1"/>
    <col min="443" max="443" width="14.42578125" style="3" customWidth="1"/>
    <col min="444" max="444" width="15.5703125" style="3" customWidth="1"/>
    <col min="445" max="445" width="24.5703125" style="3" customWidth="1"/>
    <col min="446" max="454" width="0" style="3" hidden="1" customWidth="1"/>
    <col min="455" max="692" width="9.140625" style="3"/>
    <col min="693" max="693" width="0" style="3" hidden="1" customWidth="1"/>
    <col min="694" max="694" width="17.7109375" style="3" customWidth="1"/>
    <col min="695" max="695" width="14.28515625" style="3" customWidth="1"/>
    <col min="696" max="696" width="13.7109375" style="3" customWidth="1"/>
    <col min="697" max="697" width="3.5703125" style="3" customWidth="1"/>
    <col min="698" max="698" width="20.42578125" style="3" customWidth="1"/>
    <col min="699" max="699" width="14.42578125" style="3" customWidth="1"/>
    <col min="700" max="700" width="15.5703125" style="3" customWidth="1"/>
    <col min="701" max="701" width="24.5703125" style="3" customWidth="1"/>
    <col min="702" max="710" width="0" style="3" hidden="1" customWidth="1"/>
    <col min="711" max="948" width="9.140625" style="3"/>
    <col min="949" max="949" width="0" style="3" hidden="1" customWidth="1"/>
    <col min="950" max="950" width="17.7109375" style="3" customWidth="1"/>
    <col min="951" max="951" width="14.28515625" style="3" customWidth="1"/>
    <col min="952" max="952" width="13.7109375" style="3" customWidth="1"/>
    <col min="953" max="953" width="3.5703125" style="3" customWidth="1"/>
    <col min="954" max="954" width="20.42578125" style="3" customWidth="1"/>
    <col min="955" max="955" width="14.42578125" style="3" customWidth="1"/>
    <col min="956" max="956" width="15.5703125" style="3" customWidth="1"/>
    <col min="957" max="957" width="24.5703125" style="3" customWidth="1"/>
    <col min="958" max="966" width="0" style="3" hidden="1" customWidth="1"/>
    <col min="967" max="1204" width="9.140625" style="3"/>
    <col min="1205" max="1205" width="0" style="3" hidden="1" customWidth="1"/>
    <col min="1206" max="1206" width="17.7109375" style="3" customWidth="1"/>
    <col min="1207" max="1207" width="14.28515625" style="3" customWidth="1"/>
    <col min="1208" max="1208" width="13.7109375" style="3" customWidth="1"/>
    <col min="1209" max="1209" width="3.5703125" style="3" customWidth="1"/>
    <col min="1210" max="1210" width="20.42578125" style="3" customWidth="1"/>
    <col min="1211" max="1211" width="14.42578125" style="3" customWidth="1"/>
    <col min="1212" max="1212" width="15.5703125" style="3" customWidth="1"/>
    <col min="1213" max="1213" width="24.5703125" style="3" customWidth="1"/>
    <col min="1214" max="1222" width="0" style="3" hidden="1" customWidth="1"/>
    <col min="1223" max="1460" width="9.140625" style="3"/>
    <col min="1461" max="1461" width="0" style="3" hidden="1" customWidth="1"/>
    <col min="1462" max="1462" width="17.7109375" style="3" customWidth="1"/>
    <col min="1463" max="1463" width="14.28515625" style="3" customWidth="1"/>
    <col min="1464" max="1464" width="13.7109375" style="3" customWidth="1"/>
    <col min="1465" max="1465" width="3.5703125" style="3" customWidth="1"/>
    <col min="1466" max="1466" width="20.42578125" style="3" customWidth="1"/>
    <col min="1467" max="1467" width="14.42578125" style="3" customWidth="1"/>
    <col min="1468" max="1468" width="15.5703125" style="3" customWidth="1"/>
    <col min="1469" max="1469" width="24.5703125" style="3" customWidth="1"/>
    <col min="1470" max="1478" width="0" style="3" hidden="1" customWidth="1"/>
    <col min="1479" max="1716" width="9.140625" style="3"/>
    <col min="1717" max="1717" width="0" style="3" hidden="1" customWidth="1"/>
    <col min="1718" max="1718" width="17.7109375" style="3" customWidth="1"/>
    <col min="1719" max="1719" width="14.28515625" style="3" customWidth="1"/>
    <col min="1720" max="1720" width="13.7109375" style="3" customWidth="1"/>
    <col min="1721" max="1721" width="3.5703125" style="3" customWidth="1"/>
    <col min="1722" max="1722" width="20.42578125" style="3" customWidth="1"/>
    <col min="1723" max="1723" width="14.42578125" style="3" customWidth="1"/>
    <col min="1724" max="1724" width="15.5703125" style="3" customWidth="1"/>
    <col min="1725" max="1725" width="24.5703125" style="3" customWidth="1"/>
    <col min="1726" max="1734" width="0" style="3" hidden="1" customWidth="1"/>
    <col min="1735" max="1972" width="9.140625" style="3"/>
    <col min="1973" max="1973" width="0" style="3" hidden="1" customWidth="1"/>
    <col min="1974" max="1974" width="17.7109375" style="3" customWidth="1"/>
    <col min="1975" max="1975" width="14.28515625" style="3" customWidth="1"/>
    <col min="1976" max="1976" width="13.7109375" style="3" customWidth="1"/>
    <col min="1977" max="1977" width="3.5703125" style="3" customWidth="1"/>
    <col min="1978" max="1978" width="20.42578125" style="3" customWidth="1"/>
    <col min="1979" max="1979" width="14.42578125" style="3" customWidth="1"/>
    <col min="1980" max="1980" width="15.5703125" style="3" customWidth="1"/>
    <col min="1981" max="1981" width="24.5703125" style="3" customWidth="1"/>
    <col min="1982" max="1990" width="0" style="3" hidden="1" customWidth="1"/>
    <col min="1991" max="2228" width="9.140625" style="3"/>
    <col min="2229" max="2229" width="0" style="3" hidden="1" customWidth="1"/>
    <col min="2230" max="2230" width="17.7109375" style="3" customWidth="1"/>
    <col min="2231" max="2231" width="14.28515625" style="3" customWidth="1"/>
    <col min="2232" max="2232" width="13.7109375" style="3" customWidth="1"/>
    <col min="2233" max="2233" width="3.5703125" style="3" customWidth="1"/>
    <col min="2234" max="2234" width="20.42578125" style="3" customWidth="1"/>
    <col min="2235" max="2235" width="14.42578125" style="3" customWidth="1"/>
    <col min="2236" max="2236" width="15.5703125" style="3" customWidth="1"/>
    <col min="2237" max="2237" width="24.5703125" style="3" customWidth="1"/>
    <col min="2238" max="2246" width="0" style="3" hidden="1" customWidth="1"/>
    <col min="2247" max="2484" width="9.140625" style="3"/>
    <col min="2485" max="2485" width="0" style="3" hidden="1" customWidth="1"/>
    <col min="2486" max="2486" width="17.7109375" style="3" customWidth="1"/>
    <col min="2487" max="2487" width="14.28515625" style="3" customWidth="1"/>
    <col min="2488" max="2488" width="13.7109375" style="3" customWidth="1"/>
    <col min="2489" max="2489" width="3.5703125" style="3" customWidth="1"/>
    <col min="2490" max="2490" width="20.42578125" style="3" customWidth="1"/>
    <col min="2491" max="2491" width="14.42578125" style="3" customWidth="1"/>
    <col min="2492" max="2492" width="15.5703125" style="3" customWidth="1"/>
    <col min="2493" max="2493" width="24.5703125" style="3" customWidth="1"/>
    <col min="2494" max="2502" width="0" style="3" hidden="1" customWidth="1"/>
    <col min="2503" max="2740" width="9.140625" style="3"/>
    <col min="2741" max="2741" width="0" style="3" hidden="1" customWidth="1"/>
    <col min="2742" max="2742" width="17.7109375" style="3" customWidth="1"/>
    <col min="2743" max="2743" width="14.28515625" style="3" customWidth="1"/>
    <col min="2744" max="2744" width="13.7109375" style="3" customWidth="1"/>
    <col min="2745" max="2745" width="3.5703125" style="3" customWidth="1"/>
    <col min="2746" max="2746" width="20.42578125" style="3" customWidth="1"/>
    <col min="2747" max="2747" width="14.42578125" style="3" customWidth="1"/>
    <col min="2748" max="2748" width="15.5703125" style="3" customWidth="1"/>
    <col min="2749" max="2749" width="24.5703125" style="3" customWidth="1"/>
    <col min="2750" max="2758" width="0" style="3" hidden="1" customWidth="1"/>
    <col min="2759" max="2996" width="9.140625" style="3"/>
    <col min="2997" max="2997" width="0" style="3" hidden="1" customWidth="1"/>
    <col min="2998" max="2998" width="17.7109375" style="3" customWidth="1"/>
    <col min="2999" max="2999" width="14.28515625" style="3" customWidth="1"/>
    <col min="3000" max="3000" width="13.7109375" style="3" customWidth="1"/>
    <col min="3001" max="3001" width="3.5703125" style="3" customWidth="1"/>
    <col min="3002" max="3002" width="20.42578125" style="3" customWidth="1"/>
    <col min="3003" max="3003" width="14.42578125" style="3" customWidth="1"/>
    <col min="3004" max="3004" width="15.5703125" style="3" customWidth="1"/>
    <col min="3005" max="3005" width="24.5703125" style="3" customWidth="1"/>
    <col min="3006" max="3014" width="0" style="3" hidden="1" customWidth="1"/>
    <col min="3015" max="3252" width="9.140625" style="3"/>
    <col min="3253" max="3253" width="0" style="3" hidden="1" customWidth="1"/>
    <col min="3254" max="3254" width="17.7109375" style="3" customWidth="1"/>
    <col min="3255" max="3255" width="14.28515625" style="3" customWidth="1"/>
    <col min="3256" max="3256" width="13.7109375" style="3" customWidth="1"/>
    <col min="3257" max="3257" width="3.5703125" style="3" customWidth="1"/>
    <col min="3258" max="3258" width="20.42578125" style="3" customWidth="1"/>
    <col min="3259" max="3259" width="14.42578125" style="3" customWidth="1"/>
    <col min="3260" max="3260" width="15.5703125" style="3" customWidth="1"/>
    <col min="3261" max="3261" width="24.5703125" style="3" customWidth="1"/>
    <col min="3262" max="3270" width="0" style="3" hidden="1" customWidth="1"/>
    <col min="3271" max="3508" width="9.140625" style="3"/>
    <col min="3509" max="3509" width="0" style="3" hidden="1" customWidth="1"/>
    <col min="3510" max="3510" width="17.7109375" style="3" customWidth="1"/>
    <col min="3511" max="3511" width="14.28515625" style="3" customWidth="1"/>
    <col min="3512" max="3512" width="13.7109375" style="3" customWidth="1"/>
    <col min="3513" max="3513" width="3.5703125" style="3" customWidth="1"/>
    <col min="3514" max="3514" width="20.42578125" style="3" customWidth="1"/>
    <col min="3515" max="3515" width="14.42578125" style="3" customWidth="1"/>
    <col min="3516" max="3516" width="15.5703125" style="3" customWidth="1"/>
    <col min="3517" max="3517" width="24.5703125" style="3" customWidth="1"/>
    <col min="3518" max="3526" width="0" style="3" hidden="1" customWidth="1"/>
    <col min="3527" max="3764" width="9.140625" style="3"/>
    <col min="3765" max="3765" width="0" style="3" hidden="1" customWidth="1"/>
    <col min="3766" max="3766" width="17.7109375" style="3" customWidth="1"/>
    <col min="3767" max="3767" width="14.28515625" style="3" customWidth="1"/>
    <col min="3768" max="3768" width="13.7109375" style="3" customWidth="1"/>
    <col min="3769" max="3769" width="3.5703125" style="3" customWidth="1"/>
    <col min="3770" max="3770" width="20.42578125" style="3" customWidth="1"/>
    <col min="3771" max="3771" width="14.42578125" style="3" customWidth="1"/>
    <col min="3772" max="3772" width="15.5703125" style="3" customWidth="1"/>
    <col min="3773" max="3773" width="24.5703125" style="3" customWidth="1"/>
    <col min="3774" max="3782" width="0" style="3" hidden="1" customWidth="1"/>
    <col min="3783" max="4020" width="9.140625" style="3"/>
    <col min="4021" max="4021" width="0" style="3" hidden="1" customWidth="1"/>
    <col min="4022" max="4022" width="17.7109375" style="3" customWidth="1"/>
    <col min="4023" max="4023" width="14.28515625" style="3" customWidth="1"/>
    <col min="4024" max="4024" width="13.7109375" style="3" customWidth="1"/>
    <col min="4025" max="4025" width="3.5703125" style="3" customWidth="1"/>
    <col min="4026" max="4026" width="20.42578125" style="3" customWidth="1"/>
    <col min="4027" max="4027" width="14.42578125" style="3" customWidth="1"/>
    <col min="4028" max="4028" width="15.5703125" style="3" customWidth="1"/>
    <col min="4029" max="4029" width="24.5703125" style="3" customWidth="1"/>
    <col min="4030" max="4038" width="0" style="3" hidden="1" customWidth="1"/>
    <col min="4039" max="4276" width="9.140625" style="3"/>
    <col min="4277" max="4277" width="0" style="3" hidden="1" customWidth="1"/>
    <col min="4278" max="4278" width="17.7109375" style="3" customWidth="1"/>
    <col min="4279" max="4279" width="14.28515625" style="3" customWidth="1"/>
    <col min="4280" max="4280" width="13.7109375" style="3" customWidth="1"/>
    <col min="4281" max="4281" width="3.5703125" style="3" customWidth="1"/>
    <col min="4282" max="4282" width="20.42578125" style="3" customWidth="1"/>
    <col min="4283" max="4283" width="14.42578125" style="3" customWidth="1"/>
    <col min="4284" max="4284" width="15.5703125" style="3" customWidth="1"/>
    <col min="4285" max="4285" width="24.5703125" style="3" customWidth="1"/>
    <col min="4286" max="4294" width="0" style="3" hidden="1" customWidth="1"/>
    <col min="4295" max="4532" width="9.140625" style="3"/>
    <col min="4533" max="4533" width="0" style="3" hidden="1" customWidth="1"/>
    <col min="4534" max="4534" width="17.7109375" style="3" customWidth="1"/>
    <col min="4535" max="4535" width="14.28515625" style="3" customWidth="1"/>
    <col min="4536" max="4536" width="13.7109375" style="3" customWidth="1"/>
    <col min="4537" max="4537" width="3.5703125" style="3" customWidth="1"/>
    <col min="4538" max="4538" width="20.42578125" style="3" customWidth="1"/>
    <col min="4539" max="4539" width="14.42578125" style="3" customWidth="1"/>
    <col min="4540" max="4540" width="15.5703125" style="3" customWidth="1"/>
    <col min="4541" max="4541" width="24.5703125" style="3" customWidth="1"/>
    <col min="4542" max="4550" width="0" style="3" hidden="1" customWidth="1"/>
    <col min="4551" max="4788" width="9.140625" style="3"/>
    <col min="4789" max="4789" width="0" style="3" hidden="1" customWidth="1"/>
    <col min="4790" max="4790" width="17.7109375" style="3" customWidth="1"/>
    <col min="4791" max="4791" width="14.28515625" style="3" customWidth="1"/>
    <col min="4792" max="4792" width="13.7109375" style="3" customWidth="1"/>
    <col min="4793" max="4793" width="3.5703125" style="3" customWidth="1"/>
    <col min="4794" max="4794" width="20.42578125" style="3" customWidth="1"/>
    <col min="4795" max="4795" width="14.42578125" style="3" customWidth="1"/>
    <col min="4796" max="4796" width="15.5703125" style="3" customWidth="1"/>
    <col min="4797" max="4797" width="24.5703125" style="3" customWidth="1"/>
    <col min="4798" max="4806" width="0" style="3" hidden="1" customWidth="1"/>
    <col min="4807" max="5044" width="9.140625" style="3"/>
    <col min="5045" max="5045" width="0" style="3" hidden="1" customWidth="1"/>
    <col min="5046" max="5046" width="17.7109375" style="3" customWidth="1"/>
    <col min="5047" max="5047" width="14.28515625" style="3" customWidth="1"/>
    <col min="5048" max="5048" width="13.7109375" style="3" customWidth="1"/>
    <col min="5049" max="5049" width="3.5703125" style="3" customWidth="1"/>
    <col min="5050" max="5050" width="20.42578125" style="3" customWidth="1"/>
    <col min="5051" max="5051" width="14.42578125" style="3" customWidth="1"/>
    <col min="5052" max="5052" width="15.5703125" style="3" customWidth="1"/>
    <col min="5053" max="5053" width="24.5703125" style="3" customWidth="1"/>
    <col min="5054" max="5062" width="0" style="3" hidden="1" customWidth="1"/>
    <col min="5063" max="5300" width="9.140625" style="3"/>
    <col min="5301" max="5301" width="0" style="3" hidden="1" customWidth="1"/>
    <col min="5302" max="5302" width="17.7109375" style="3" customWidth="1"/>
    <col min="5303" max="5303" width="14.28515625" style="3" customWidth="1"/>
    <col min="5304" max="5304" width="13.7109375" style="3" customWidth="1"/>
    <col min="5305" max="5305" width="3.5703125" style="3" customWidth="1"/>
    <col min="5306" max="5306" width="20.42578125" style="3" customWidth="1"/>
    <col min="5307" max="5307" width="14.42578125" style="3" customWidth="1"/>
    <col min="5308" max="5308" width="15.5703125" style="3" customWidth="1"/>
    <col min="5309" max="5309" width="24.5703125" style="3" customWidth="1"/>
    <col min="5310" max="5318" width="0" style="3" hidden="1" customWidth="1"/>
    <col min="5319" max="5556" width="9.140625" style="3"/>
    <col min="5557" max="5557" width="0" style="3" hidden="1" customWidth="1"/>
    <col min="5558" max="5558" width="17.7109375" style="3" customWidth="1"/>
    <col min="5559" max="5559" width="14.28515625" style="3" customWidth="1"/>
    <col min="5560" max="5560" width="13.7109375" style="3" customWidth="1"/>
    <col min="5561" max="5561" width="3.5703125" style="3" customWidth="1"/>
    <col min="5562" max="5562" width="20.42578125" style="3" customWidth="1"/>
    <col min="5563" max="5563" width="14.42578125" style="3" customWidth="1"/>
    <col min="5564" max="5564" width="15.5703125" style="3" customWidth="1"/>
    <col min="5565" max="5565" width="24.5703125" style="3" customWidth="1"/>
    <col min="5566" max="5574" width="0" style="3" hidden="1" customWidth="1"/>
    <col min="5575" max="5812" width="9.140625" style="3"/>
    <col min="5813" max="5813" width="0" style="3" hidden="1" customWidth="1"/>
    <col min="5814" max="5814" width="17.7109375" style="3" customWidth="1"/>
    <col min="5815" max="5815" width="14.28515625" style="3" customWidth="1"/>
    <col min="5816" max="5816" width="13.7109375" style="3" customWidth="1"/>
    <col min="5817" max="5817" width="3.5703125" style="3" customWidth="1"/>
    <col min="5818" max="5818" width="20.42578125" style="3" customWidth="1"/>
    <col min="5819" max="5819" width="14.42578125" style="3" customWidth="1"/>
    <col min="5820" max="5820" width="15.5703125" style="3" customWidth="1"/>
    <col min="5821" max="5821" width="24.5703125" style="3" customWidth="1"/>
    <col min="5822" max="5830" width="0" style="3" hidden="1" customWidth="1"/>
    <col min="5831" max="6068" width="9.140625" style="3"/>
    <col min="6069" max="6069" width="0" style="3" hidden="1" customWidth="1"/>
    <col min="6070" max="6070" width="17.7109375" style="3" customWidth="1"/>
    <col min="6071" max="6071" width="14.28515625" style="3" customWidth="1"/>
    <col min="6072" max="6072" width="13.7109375" style="3" customWidth="1"/>
    <col min="6073" max="6073" width="3.5703125" style="3" customWidth="1"/>
    <col min="6074" max="6074" width="20.42578125" style="3" customWidth="1"/>
    <col min="6075" max="6075" width="14.42578125" style="3" customWidth="1"/>
    <col min="6076" max="6076" width="15.5703125" style="3" customWidth="1"/>
    <col min="6077" max="6077" width="24.5703125" style="3" customWidth="1"/>
    <col min="6078" max="6086" width="0" style="3" hidden="1" customWidth="1"/>
    <col min="6087" max="6324" width="9.140625" style="3"/>
    <col min="6325" max="6325" width="0" style="3" hidden="1" customWidth="1"/>
    <col min="6326" max="6326" width="17.7109375" style="3" customWidth="1"/>
    <col min="6327" max="6327" width="14.28515625" style="3" customWidth="1"/>
    <col min="6328" max="6328" width="13.7109375" style="3" customWidth="1"/>
    <col min="6329" max="6329" width="3.5703125" style="3" customWidth="1"/>
    <col min="6330" max="6330" width="20.42578125" style="3" customWidth="1"/>
    <col min="6331" max="6331" width="14.42578125" style="3" customWidth="1"/>
    <col min="6332" max="6332" width="15.5703125" style="3" customWidth="1"/>
    <col min="6333" max="6333" width="24.5703125" style="3" customWidth="1"/>
    <col min="6334" max="6342" width="0" style="3" hidden="1" customWidth="1"/>
    <col min="6343" max="6580" width="9.140625" style="3"/>
    <col min="6581" max="6581" width="0" style="3" hidden="1" customWidth="1"/>
    <col min="6582" max="6582" width="17.7109375" style="3" customWidth="1"/>
    <col min="6583" max="6583" width="14.28515625" style="3" customWidth="1"/>
    <col min="6584" max="6584" width="13.7109375" style="3" customWidth="1"/>
    <col min="6585" max="6585" width="3.5703125" style="3" customWidth="1"/>
    <col min="6586" max="6586" width="20.42578125" style="3" customWidth="1"/>
    <col min="6587" max="6587" width="14.42578125" style="3" customWidth="1"/>
    <col min="6588" max="6588" width="15.5703125" style="3" customWidth="1"/>
    <col min="6589" max="6589" width="24.5703125" style="3" customWidth="1"/>
    <col min="6590" max="6598" width="0" style="3" hidden="1" customWidth="1"/>
    <col min="6599" max="6836" width="9.140625" style="3"/>
    <col min="6837" max="6837" width="0" style="3" hidden="1" customWidth="1"/>
    <col min="6838" max="6838" width="17.7109375" style="3" customWidth="1"/>
    <col min="6839" max="6839" width="14.28515625" style="3" customWidth="1"/>
    <col min="6840" max="6840" width="13.7109375" style="3" customWidth="1"/>
    <col min="6841" max="6841" width="3.5703125" style="3" customWidth="1"/>
    <col min="6842" max="6842" width="20.42578125" style="3" customWidth="1"/>
    <col min="6843" max="6843" width="14.42578125" style="3" customWidth="1"/>
    <col min="6844" max="6844" width="15.5703125" style="3" customWidth="1"/>
    <col min="6845" max="6845" width="24.5703125" style="3" customWidth="1"/>
    <col min="6846" max="6854" width="0" style="3" hidden="1" customWidth="1"/>
    <col min="6855" max="7092" width="9.140625" style="3"/>
    <col min="7093" max="7093" width="0" style="3" hidden="1" customWidth="1"/>
    <col min="7094" max="7094" width="17.7109375" style="3" customWidth="1"/>
    <col min="7095" max="7095" width="14.28515625" style="3" customWidth="1"/>
    <col min="7096" max="7096" width="13.7109375" style="3" customWidth="1"/>
    <col min="7097" max="7097" width="3.5703125" style="3" customWidth="1"/>
    <col min="7098" max="7098" width="20.42578125" style="3" customWidth="1"/>
    <col min="7099" max="7099" width="14.42578125" style="3" customWidth="1"/>
    <col min="7100" max="7100" width="15.5703125" style="3" customWidth="1"/>
    <col min="7101" max="7101" width="24.5703125" style="3" customWidth="1"/>
    <col min="7102" max="7110" width="0" style="3" hidden="1" customWidth="1"/>
    <col min="7111" max="7348" width="9.140625" style="3"/>
    <col min="7349" max="7349" width="0" style="3" hidden="1" customWidth="1"/>
    <col min="7350" max="7350" width="17.7109375" style="3" customWidth="1"/>
    <col min="7351" max="7351" width="14.28515625" style="3" customWidth="1"/>
    <col min="7352" max="7352" width="13.7109375" style="3" customWidth="1"/>
    <col min="7353" max="7353" width="3.5703125" style="3" customWidth="1"/>
    <col min="7354" max="7354" width="20.42578125" style="3" customWidth="1"/>
    <col min="7355" max="7355" width="14.42578125" style="3" customWidth="1"/>
    <col min="7356" max="7356" width="15.5703125" style="3" customWidth="1"/>
    <col min="7357" max="7357" width="24.5703125" style="3" customWidth="1"/>
    <col min="7358" max="7366" width="0" style="3" hidden="1" customWidth="1"/>
    <col min="7367" max="7604" width="9.140625" style="3"/>
    <col min="7605" max="7605" width="0" style="3" hidden="1" customWidth="1"/>
    <col min="7606" max="7606" width="17.7109375" style="3" customWidth="1"/>
    <col min="7607" max="7607" width="14.28515625" style="3" customWidth="1"/>
    <col min="7608" max="7608" width="13.7109375" style="3" customWidth="1"/>
    <col min="7609" max="7609" width="3.5703125" style="3" customWidth="1"/>
    <col min="7610" max="7610" width="20.42578125" style="3" customWidth="1"/>
    <col min="7611" max="7611" width="14.42578125" style="3" customWidth="1"/>
    <col min="7612" max="7612" width="15.5703125" style="3" customWidth="1"/>
    <col min="7613" max="7613" width="24.5703125" style="3" customWidth="1"/>
    <col min="7614" max="7622" width="0" style="3" hidden="1" customWidth="1"/>
    <col min="7623" max="7860" width="9.140625" style="3"/>
    <col min="7861" max="7861" width="0" style="3" hidden="1" customWidth="1"/>
    <col min="7862" max="7862" width="17.7109375" style="3" customWidth="1"/>
    <col min="7863" max="7863" width="14.28515625" style="3" customWidth="1"/>
    <col min="7864" max="7864" width="13.7109375" style="3" customWidth="1"/>
    <col min="7865" max="7865" width="3.5703125" style="3" customWidth="1"/>
    <col min="7866" max="7866" width="20.42578125" style="3" customWidth="1"/>
    <col min="7867" max="7867" width="14.42578125" style="3" customWidth="1"/>
    <col min="7868" max="7868" width="15.5703125" style="3" customWidth="1"/>
    <col min="7869" max="7869" width="24.5703125" style="3" customWidth="1"/>
    <col min="7870" max="7878" width="0" style="3" hidden="1" customWidth="1"/>
    <col min="7879" max="8116" width="9.140625" style="3"/>
    <col min="8117" max="8117" width="0" style="3" hidden="1" customWidth="1"/>
    <col min="8118" max="8118" width="17.7109375" style="3" customWidth="1"/>
    <col min="8119" max="8119" width="14.28515625" style="3" customWidth="1"/>
    <col min="8120" max="8120" width="13.7109375" style="3" customWidth="1"/>
    <col min="8121" max="8121" width="3.5703125" style="3" customWidth="1"/>
    <col min="8122" max="8122" width="20.42578125" style="3" customWidth="1"/>
    <col min="8123" max="8123" width="14.42578125" style="3" customWidth="1"/>
    <col min="8124" max="8124" width="15.5703125" style="3" customWidth="1"/>
    <col min="8125" max="8125" width="24.5703125" style="3" customWidth="1"/>
    <col min="8126" max="8134" width="0" style="3" hidden="1" customWidth="1"/>
    <col min="8135" max="8372" width="9.140625" style="3"/>
    <col min="8373" max="8373" width="0" style="3" hidden="1" customWidth="1"/>
    <col min="8374" max="8374" width="17.7109375" style="3" customWidth="1"/>
    <col min="8375" max="8375" width="14.28515625" style="3" customWidth="1"/>
    <col min="8376" max="8376" width="13.7109375" style="3" customWidth="1"/>
    <col min="8377" max="8377" width="3.5703125" style="3" customWidth="1"/>
    <col min="8378" max="8378" width="20.42578125" style="3" customWidth="1"/>
    <col min="8379" max="8379" width="14.42578125" style="3" customWidth="1"/>
    <col min="8380" max="8380" width="15.5703125" style="3" customWidth="1"/>
    <col min="8381" max="8381" width="24.5703125" style="3" customWidth="1"/>
    <col min="8382" max="8390" width="0" style="3" hidden="1" customWidth="1"/>
    <col min="8391" max="8628" width="9.140625" style="3"/>
    <col min="8629" max="8629" width="0" style="3" hidden="1" customWidth="1"/>
    <col min="8630" max="8630" width="17.7109375" style="3" customWidth="1"/>
    <col min="8631" max="8631" width="14.28515625" style="3" customWidth="1"/>
    <col min="8632" max="8632" width="13.7109375" style="3" customWidth="1"/>
    <col min="8633" max="8633" width="3.5703125" style="3" customWidth="1"/>
    <col min="8634" max="8634" width="20.42578125" style="3" customWidth="1"/>
    <col min="8635" max="8635" width="14.42578125" style="3" customWidth="1"/>
    <col min="8636" max="8636" width="15.5703125" style="3" customWidth="1"/>
    <col min="8637" max="8637" width="24.5703125" style="3" customWidth="1"/>
    <col min="8638" max="8646" width="0" style="3" hidden="1" customWidth="1"/>
    <col min="8647" max="8884" width="9.140625" style="3"/>
    <col min="8885" max="8885" width="0" style="3" hidden="1" customWidth="1"/>
    <col min="8886" max="8886" width="17.7109375" style="3" customWidth="1"/>
    <col min="8887" max="8887" width="14.28515625" style="3" customWidth="1"/>
    <col min="8888" max="8888" width="13.7109375" style="3" customWidth="1"/>
    <col min="8889" max="8889" width="3.5703125" style="3" customWidth="1"/>
    <col min="8890" max="8890" width="20.42578125" style="3" customWidth="1"/>
    <col min="8891" max="8891" width="14.42578125" style="3" customWidth="1"/>
    <col min="8892" max="8892" width="15.5703125" style="3" customWidth="1"/>
    <col min="8893" max="8893" width="24.5703125" style="3" customWidth="1"/>
    <col min="8894" max="8902" width="0" style="3" hidden="1" customWidth="1"/>
    <col min="8903" max="9140" width="9.140625" style="3"/>
    <col min="9141" max="9141" width="0" style="3" hidden="1" customWidth="1"/>
    <col min="9142" max="9142" width="17.7109375" style="3" customWidth="1"/>
    <col min="9143" max="9143" width="14.28515625" style="3" customWidth="1"/>
    <col min="9144" max="9144" width="13.7109375" style="3" customWidth="1"/>
    <col min="9145" max="9145" width="3.5703125" style="3" customWidth="1"/>
    <col min="9146" max="9146" width="20.42578125" style="3" customWidth="1"/>
    <col min="9147" max="9147" width="14.42578125" style="3" customWidth="1"/>
    <col min="9148" max="9148" width="15.5703125" style="3" customWidth="1"/>
    <col min="9149" max="9149" width="24.5703125" style="3" customWidth="1"/>
    <col min="9150" max="9158" width="0" style="3" hidden="1" customWidth="1"/>
    <col min="9159" max="9396" width="9.140625" style="3"/>
    <col min="9397" max="9397" width="0" style="3" hidden="1" customWidth="1"/>
    <col min="9398" max="9398" width="17.7109375" style="3" customWidth="1"/>
    <col min="9399" max="9399" width="14.28515625" style="3" customWidth="1"/>
    <col min="9400" max="9400" width="13.7109375" style="3" customWidth="1"/>
    <col min="9401" max="9401" width="3.5703125" style="3" customWidth="1"/>
    <col min="9402" max="9402" width="20.42578125" style="3" customWidth="1"/>
    <col min="9403" max="9403" width="14.42578125" style="3" customWidth="1"/>
    <col min="9404" max="9404" width="15.5703125" style="3" customWidth="1"/>
    <col min="9405" max="9405" width="24.5703125" style="3" customWidth="1"/>
    <col min="9406" max="9414" width="0" style="3" hidden="1" customWidth="1"/>
    <col min="9415" max="9652" width="9.140625" style="3"/>
    <col min="9653" max="9653" width="0" style="3" hidden="1" customWidth="1"/>
    <col min="9654" max="9654" width="17.7109375" style="3" customWidth="1"/>
    <col min="9655" max="9655" width="14.28515625" style="3" customWidth="1"/>
    <col min="9656" max="9656" width="13.7109375" style="3" customWidth="1"/>
    <col min="9657" max="9657" width="3.5703125" style="3" customWidth="1"/>
    <col min="9658" max="9658" width="20.42578125" style="3" customWidth="1"/>
    <col min="9659" max="9659" width="14.42578125" style="3" customWidth="1"/>
    <col min="9660" max="9660" width="15.5703125" style="3" customWidth="1"/>
    <col min="9661" max="9661" width="24.5703125" style="3" customWidth="1"/>
    <col min="9662" max="9670" width="0" style="3" hidden="1" customWidth="1"/>
    <col min="9671" max="9908" width="9.140625" style="3"/>
    <col min="9909" max="9909" width="0" style="3" hidden="1" customWidth="1"/>
    <col min="9910" max="9910" width="17.7109375" style="3" customWidth="1"/>
    <col min="9911" max="9911" width="14.28515625" style="3" customWidth="1"/>
    <col min="9912" max="9912" width="13.7109375" style="3" customWidth="1"/>
    <col min="9913" max="9913" width="3.5703125" style="3" customWidth="1"/>
    <col min="9914" max="9914" width="20.42578125" style="3" customWidth="1"/>
    <col min="9915" max="9915" width="14.42578125" style="3" customWidth="1"/>
    <col min="9916" max="9916" width="15.5703125" style="3" customWidth="1"/>
    <col min="9917" max="9917" width="24.5703125" style="3" customWidth="1"/>
    <col min="9918" max="9926" width="0" style="3" hidden="1" customWidth="1"/>
    <col min="9927" max="10164" width="9.140625" style="3"/>
    <col min="10165" max="10165" width="0" style="3" hidden="1" customWidth="1"/>
    <col min="10166" max="10166" width="17.7109375" style="3" customWidth="1"/>
    <col min="10167" max="10167" width="14.28515625" style="3" customWidth="1"/>
    <col min="10168" max="10168" width="13.7109375" style="3" customWidth="1"/>
    <col min="10169" max="10169" width="3.5703125" style="3" customWidth="1"/>
    <col min="10170" max="10170" width="20.42578125" style="3" customWidth="1"/>
    <col min="10171" max="10171" width="14.42578125" style="3" customWidth="1"/>
    <col min="10172" max="10172" width="15.5703125" style="3" customWidth="1"/>
    <col min="10173" max="10173" width="24.5703125" style="3" customWidth="1"/>
    <col min="10174" max="10182" width="0" style="3" hidden="1" customWidth="1"/>
    <col min="10183" max="10420" width="9.140625" style="3"/>
    <col min="10421" max="10421" width="0" style="3" hidden="1" customWidth="1"/>
    <col min="10422" max="10422" width="17.7109375" style="3" customWidth="1"/>
    <col min="10423" max="10423" width="14.28515625" style="3" customWidth="1"/>
    <col min="10424" max="10424" width="13.7109375" style="3" customWidth="1"/>
    <col min="10425" max="10425" width="3.5703125" style="3" customWidth="1"/>
    <col min="10426" max="10426" width="20.42578125" style="3" customWidth="1"/>
    <col min="10427" max="10427" width="14.42578125" style="3" customWidth="1"/>
    <col min="10428" max="10428" width="15.5703125" style="3" customWidth="1"/>
    <col min="10429" max="10429" width="24.5703125" style="3" customWidth="1"/>
    <col min="10430" max="10438" width="0" style="3" hidden="1" customWidth="1"/>
    <col min="10439" max="10676" width="9.140625" style="3"/>
    <col min="10677" max="10677" width="0" style="3" hidden="1" customWidth="1"/>
    <col min="10678" max="10678" width="17.7109375" style="3" customWidth="1"/>
    <col min="10679" max="10679" width="14.28515625" style="3" customWidth="1"/>
    <col min="10680" max="10680" width="13.7109375" style="3" customWidth="1"/>
    <col min="10681" max="10681" width="3.5703125" style="3" customWidth="1"/>
    <col min="10682" max="10682" width="20.42578125" style="3" customWidth="1"/>
    <col min="10683" max="10683" width="14.42578125" style="3" customWidth="1"/>
    <col min="10684" max="10684" width="15.5703125" style="3" customWidth="1"/>
    <col min="10685" max="10685" width="24.5703125" style="3" customWidth="1"/>
    <col min="10686" max="10694" width="0" style="3" hidden="1" customWidth="1"/>
    <col min="10695" max="10932" width="9.140625" style="3"/>
    <col min="10933" max="10933" width="0" style="3" hidden="1" customWidth="1"/>
    <col min="10934" max="10934" width="17.7109375" style="3" customWidth="1"/>
    <col min="10935" max="10935" width="14.28515625" style="3" customWidth="1"/>
    <col min="10936" max="10936" width="13.7109375" style="3" customWidth="1"/>
    <col min="10937" max="10937" width="3.5703125" style="3" customWidth="1"/>
    <col min="10938" max="10938" width="20.42578125" style="3" customWidth="1"/>
    <col min="10939" max="10939" width="14.42578125" style="3" customWidth="1"/>
    <col min="10940" max="10940" width="15.5703125" style="3" customWidth="1"/>
    <col min="10941" max="10941" width="24.5703125" style="3" customWidth="1"/>
    <col min="10942" max="10950" width="0" style="3" hidden="1" customWidth="1"/>
    <col min="10951" max="11188" width="9.140625" style="3"/>
    <col min="11189" max="11189" width="0" style="3" hidden="1" customWidth="1"/>
    <col min="11190" max="11190" width="17.7109375" style="3" customWidth="1"/>
    <col min="11191" max="11191" width="14.28515625" style="3" customWidth="1"/>
    <col min="11192" max="11192" width="13.7109375" style="3" customWidth="1"/>
    <col min="11193" max="11193" width="3.5703125" style="3" customWidth="1"/>
    <col min="11194" max="11194" width="20.42578125" style="3" customWidth="1"/>
    <col min="11195" max="11195" width="14.42578125" style="3" customWidth="1"/>
    <col min="11196" max="11196" width="15.5703125" style="3" customWidth="1"/>
    <col min="11197" max="11197" width="24.5703125" style="3" customWidth="1"/>
    <col min="11198" max="11206" width="0" style="3" hidden="1" customWidth="1"/>
    <col min="11207" max="11444" width="9.140625" style="3"/>
    <col min="11445" max="11445" width="0" style="3" hidden="1" customWidth="1"/>
    <col min="11446" max="11446" width="17.7109375" style="3" customWidth="1"/>
    <col min="11447" max="11447" width="14.28515625" style="3" customWidth="1"/>
    <col min="11448" max="11448" width="13.7109375" style="3" customWidth="1"/>
    <col min="11449" max="11449" width="3.5703125" style="3" customWidth="1"/>
    <col min="11450" max="11450" width="20.42578125" style="3" customWidth="1"/>
    <col min="11451" max="11451" width="14.42578125" style="3" customWidth="1"/>
    <col min="11452" max="11452" width="15.5703125" style="3" customWidth="1"/>
    <col min="11453" max="11453" width="24.5703125" style="3" customWidth="1"/>
    <col min="11454" max="11462" width="0" style="3" hidden="1" customWidth="1"/>
    <col min="11463" max="11700" width="9.140625" style="3"/>
    <col min="11701" max="11701" width="0" style="3" hidden="1" customWidth="1"/>
    <col min="11702" max="11702" width="17.7109375" style="3" customWidth="1"/>
    <col min="11703" max="11703" width="14.28515625" style="3" customWidth="1"/>
    <col min="11704" max="11704" width="13.7109375" style="3" customWidth="1"/>
    <col min="11705" max="11705" width="3.5703125" style="3" customWidth="1"/>
    <col min="11706" max="11706" width="20.42578125" style="3" customWidth="1"/>
    <col min="11707" max="11707" width="14.42578125" style="3" customWidth="1"/>
    <col min="11708" max="11708" width="15.5703125" style="3" customWidth="1"/>
    <col min="11709" max="11709" width="24.5703125" style="3" customWidth="1"/>
    <col min="11710" max="11718" width="0" style="3" hidden="1" customWidth="1"/>
    <col min="11719" max="11956" width="9.140625" style="3"/>
    <col min="11957" max="11957" width="0" style="3" hidden="1" customWidth="1"/>
    <col min="11958" max="11958" width="17.7109375" style="3" customWidth="1"/>
    <col min="11959" max="11959" width="14.28515625" style="3" customWidth="1"/>
    <col min="11960" max="11960" width="13.7109375" style="3" customWidth="1"/>
    <col min="11961" max="11961" width="3.5703125" style="3" customWidth="1"/>
    <col min="11962" max="11962" width="20.42578125" style="3" customWidth="1"/>
    <col min="11963" max="11963" width="14.42578125" style="3" customWidth="1"/>
    <col min="11964" max="11964" width="15.5703125" style="3" customWidth="1"/>
    <col min="11965" max="11965" width="24.5703125" style="3" customWidth="1"/>
    <col min="11966" max="11974" width="0" style="3" hidden="1" customWidth="1"/>
    <col min="11975" max="12212" width="9.140625" style="3"/>
    <col min="12213" max="12213" width="0" style="3" hidden="1" customWidth="1"/>
    <col min="12214" max="12214" width="17.7109375" style="3" customWidth="1"/>
    <col min="12215" max="12215" width="14.28515625" style="3" customWidth="1"/>
    <col min="12216" max="12216" width="13.7109375" style="3" customWidth="1"/>
    <col min="12217" max="12217" width="3.5703125" style="3" customWidth="1"/>
    <col min="12218" max="12218" width="20.42578125" style="3" customWidth="1"/>
    <col min="12219" max="12219" width="14.42578125" style="3" customWidth="1"/>
    <col min="12220" max="12220" width="15.5703125" style="3" customWidth="1"/>
    <col min="12221" max="12221" width="24.5703125" style="3" customWidth="1"/>
    <col min="12222" max="12230" width="0" style="3" hidden="1" customWidth="1"/>
    <col min="12231" max="12468" width="9.140625" style="3"/>
    <col min="12469" max="12469" width="0" style="3" hidden="1" customWidth="1"/>
    <col min="12470" max="12470" width="17.7109375" style="3" customWidth="1"/>
    <col min="12471" max="12471" width="14.28515625" style="3" customWidth="1"/>
    <col min="12472" max="12472" width="13.7109375" style="3" customWidth="1"/>
    <col min="12473" max="12473" width="3.5703125" style="3" customWidth="1"/>
    <col min="12474" max="12474" width="20.42578125" style="3" customWidth="1"/>
    <col min="12475" max="12475" width="14.42578125" style="3" customWidth="1"/>
    <col min="12476" max="12476" width="15.5703125" style="3" customWidth="1"/>
    <col min="12477" max="12477" width="24.5703125" style="3" customWidth="1"/>
    <col min="12478" max="12486" width="0" style="3" hidden="1" customWidth="1"/>
    <col min="12487" max="12724" width="9.140625" style="3"/>
    <col min="12725" max="12725" width="0" style="3" hidden="1" customWidth="1"/>
    <col min="12726" max="12726" width="17.7109375" style="3" customWidth="1"/>
    <col min="12727" max="12727" width="14.28515625" style="3" customWidth="1"/>
    <col min="12728" max="12728" width="13.7109375" style="3" customWidth="1"/>
    <col min="12729" max="12729" width="3.5703125" style="3" customWidth="1"/>
    <col min="12730" max="12730" width="20.42578125" style="3" customWidth="1"/>
    <col min="12731" max="12731" width="14.42578125" style="3" customWidth="1"/>
    <col min="12732" max="12732" width="15.5703125" style="3" customWidth="1"/>
    <col min="12733" max="12733" width="24.5703125" style="3" customWidth="1"/>
    <col min="12734" max="12742" width="0" style="3" hidden="1" customWidth="1"/>
    <col min="12743" max="12980" width="9.140625" style="3"/>
    <col min="12981" max="12981" width="0" style="3" hidden="1" customWidth="1"/>
    <col min="12982" max="12982" width="17.7109375" style="3" customWidth="1"/>
    <col min="12983" max="12983" width="14.28515625" style="3" customWidth="1"/>
    <col min="12984" max="12984" width="13.7109375" style="3" customWidth="1"/>
    <col min="12985" max="12985" width="3.5703125" style="3" customWidth="1"/>
    <col min="12986" max="12986" width="20.42578125" style="3" customWidth="1"/>
    <col min="12987" max="12987" width="14.42578125" style="3" customWidth="1"/>
    <col min="12988" max="12988" width="15.5703125" style="3" customWidth="1"/>
    <col min="12989" max="12989" width="24.5703125" style="3" customWidth="1"/>
    <col min="12990" max="12998" width="0" style="3" hidden="1" customWidth="1"/>
    <col min="12999" max="13236" width="9.140625" style="3"/>
    <col min="13237" max="13237" width="0" style="3" hidden="1" customWidth="1"/>
    <col min="13238" max="13238" width="17.7109375" style="3" customWidth="1"/>
    <col min="13239" max="13239" width="14.28515625" style="3" customWidth="1"/>
    <col min="13240" max="13240" width="13.7109375" style="3" customWidth="1"/>
    <col min="13241" max="13241" width="3.5703125" style="3" customWidth="1"/>
    <col min="13242" max="13242" width="20.42578125" style="3" customWidth="1"/>
    <col min="13243" max="13243" width="14.42578125" style="3" customWidth="1"/>
    <col min="13244" max="13244" width="15.5703125" style="3" customWidth="1"/>
    <col min="13245" max="13245" width="24.5703125" style="3" customWidth="1"/>
    <col min="13246" max="13254" width="0" style="3" hidden="1" customWidth="1"/>
    <col min="13255" max="13492" width="9.140625" style="3"/>
    <col min="13493" max="13493" width="0" style="3" hidden="1" customWidth="1"/>
    <col min="13494" max="13494" width="17.7109375" style="3" customWidth="1"/>
    <col min="13495" max="13495" width="14.28515625" style="3" customWidth="1"/>
    <col min="13496" max="13496" width="13.7109375" style="3" customWidth="1"/>
    <col min="13497" max="13497" width="3.5703125" style="3" customWidth="1"/>
    <col min="13498" max="13498" width="20.42578125" style="3" customWidth="1"/>
    <col min="13499" max="13499" width="14.42578125" style="3" customWidth="1"/>
    <col min="13500" max="13500" width="15.5703125" style="3" customWidth="1"/>
    <col min="13501" max="13501" width="24.5703125" style="3" customWidth="1"/>
    <col min="13502" max="13510" width="0" style="3" hidden="1" customWidth="1"/>
    <col min="13511" max="13748" width="9.140625" style="3"/>
    <col min="13749" max="13749" width="0" style="3" hidden="1" customWidth="1"/>
    <col min="13750" max="13750" width="17.7109375" style="3" customWidth="1"/>
    <col min="13751" max="13751" width="14.28515625" style="3" customWidth="1"/>
    <col min="13752" max="13752" width="13.7109375" style="3" customWidth="1"/>
    <col min="13753" max="13753" width="3.5703125" style="3" customWidth="1"/>
    <col min="13754" max="13754" width="20.42578125" style="3" customWidth="1"/>
    <col min="13755" max="13755" width="14.42578125" style="3" customWidth="1"/>
    <col min="13756" max="13756" width="15.5703125" style="3" customWidth="1"/>
    <col min="13757" max="13757" width="24.5703125" style="3" customWidth="1"/>
    <col min="13758" max="13766" width="0" style="3" hidden="1" customWidth="1"/>
    <col min="13767" max="14004" width="9.140625" style="3"/>
    <col min="14005" max="14005" width="0" style="3" hidden="1" customWidth="1"/>
    <col min="14006" max="14006" width="17.7109375" style="3" customWidth="1"/>
    <col min="14007" max="14007" width="14.28515625" style="3" customWidth="1"/>
    <col min="14008" max="14008" width="13.7109375" style="3" customWidth="1"/>
    <col min="14009" max="14009" width="3.5703125" style="3" customWidth="1"/>
    <col min="14010" max="14010" width="20.42578125" style="3" customWidth="1"/>
    <col min="14011" max="14011" width="14.42578125" style="3" customWidth="1"/>
    <col min="14012" max="14012" width="15.5703125" style="3" customWidth="1"/>
    <col min="14013" max="14013" width="24.5703125" style="3" customWidth="1"/>
    <col min="14014" max="14022" width="0" style="3" hidden="1" customWidth="1"/>
    <col min="14023" max="14260" width="9.140625" style="3"/>
    <col min="14261" max="14261" width="0" style="3" hidden="1" customWidth="1"/>
    <col min="14262" max="14262" width="17.7109375" style="3" customWidth="1"/>
    <col min="14263" max="14263" width="14.28515625" style="3" customWidth="1"/>
    <col min="14264" max="14264" width="13.7109375" style="3" customWidth="1"/>
    <col min="14265" max="14265" width="3.5703125" style="3" customWidth="1"/>
    <col min="14266" max="14266" width="20.42578125" style="3" customWidth="1"/>
    <col min="14267" max="14267" width="14.42578125" style="3" customWidth="1"/>
    <col min="14268" max="14268" width="15.5703125" style="3" customWidth="1"/>
    <col min="14269" max="14269" width="24.5703125" style="3" customWidth="1"/>
    <col min="14270" max="14278" width="0" style="3" hidden="1" customWidth="1"/>
    <col min="14279" max="14516" width="9.140625" style="3"/>
    <col min="14517" max="14517" width="0" style="3" hidden="1" customWidth="1"/>
    <col min="14518" max="14518" width="17.7109375" style="3" customWidth="1"/>
    <col min="14519" max="14519" width="14.28515625" style="3" customWidth="1"/>
    <col min="14520" max="14520" width="13.7109375" style="3" customWidth="1"/>
    <col min="14521" max="14521" width="3.5703125" style="3" customWidth="1"/>
    <col min="14522" max="14522" width="20.42578125" style="3" customWidth="1"/>
    <col min="14523" max="14523" width="14.42578125" style="3" customWidth="1"/>
    <col min="14524" max="14524" width="15.5703125" style="3" customWidth="1"/>
    <col min="14525" max="14525" width="24.5703125" style="3" customWidth="1"/>
    <col min="14526" max="14534" width="0" style="3" hidden="1" customWidth="1"/>
    <col min="14535" max="14772" width="9.140625" style="3"/>
    <col min="14773" max="14773" width="0" style="3" hidden="1" customWidth="1"/>
    <col min="14774" max="14774" width="17.7109375" style="3" customWidth="1"/>
    <col min="14775" max="14775" width="14.28515625" style="3" customWidth="1"/>
    <col min="14776" max="14776" width="13.7109375" style="3" customWidth="1"/>
    <col min="14777" max="14777" width="3.5703125" style="3" customWidth="1"/>
    <col min="14778" max="14778" width="20.42578125" style="3" customWidth="1"/>
    <col min="14779" max="14779" width="14.42578125" style="3" customWidth="1"/>
    <col min="14780" max="14780" width="15.5703125" style="3" customWidth="1"/>
    <col min="14781" max="14781" width="24.5703125" style="3" customWidth="1"/>
    <col min="14782" max="14790" width="0" style="3" hidden="1" customWidth="1"/>
    <col min="14791" max="15028" width="9.140625" style="3"/>
    <col min="15029" max="15029" width="0" style="3" hidden="1" customWidth="1"/>
    <col min="15030" max="15030" width="17.7109375" style="3" customWidth="1"/>
    <col min="15031" max="15031" width="14.28515625" style="3" customWidth="1"/>
    <col min="15032" max="15032" width="13.7109375" style="3" customWidth="1"/>
    <col min="15033" max="15033" width="3.5703125" style="3" customWidth="1"/>
    <col min="15034" max="15034" width="20.42578125" style="3" customWidth="1"/>
    <col min="15035" max="15035" width="14.42578125" style="3" customWidth="1"/>
    <col min="15036" max="15036" width="15.5703125" style="3" customWidth="1"/>
    <col min="15037" max="15037" width="24.5703125" style="3" customWidth="1"/>
    <col min="15038" max="15046" width="0" style="3" hidden="1" customWidth="1"/>
    <col min="15047" max="15284" width="9.140625" style="3"/>
    <col min="15285" max="15285" width="0" style="3" hidden="1" customWidth="1"/>
    <col min="15286" max="15286" width="17.7109375" style="3" customWidth="1"/>
    <col min="15287" max="15287" width="14.28515625" style="3" customWidth="1"/>
    <col min="15288" max="15288" width="13.7109375" style="3" customWidth="1"/>
    <col min="15289" max="15289" width="3.5703125" style="3" customWidth="1"/>
    <col min="15290" max="15290" width="20.42578125" style="3" customWidth="1"/>
    <col min="15291" max="15291" width="14.42578125" style="3" customWidth="1"/>
    <col min="15292" max="15292" width="15.5703125" style="3" customWidth="1"/>
    <col min="15293" max="15293" width="24.5703125" style="3" customWidth="1"/>
    <col min="15294" max="15302" width="0" style="3" hidden="1" customWidth="1"/>
    <col min="15303" max="15540" width="9.140625" style="3"/>
    <col min="15541" max="15541" width="0" style="3" hidden="1" customWidth="1"/>
    <col min="15542" max="15542" width="17.7109375" style="3" customWidth="1"/>
    <col min="15543" max="15543" width="14.28515625" style="3" customWidth="1"/>
    <col min="15544" max="15544" width="13.7109375" style="3" customWidth="1"/>
    <col min="15545" max="15545" width="3.5703125" style="3" customWidth="1"/>
    <col min="15546" max="15546" width="20.42578125" style="3" customWidth="1"/>
    <col min="15547" max="15547" width="14.42578125" style="3" customWidth="1"/>
    <col min="15548" max="15548" width="15.5703125" style="3" customWidth="1"/>
    <col min="15549" max="15549" width="24.5703125" style="3" customWidth="1"/>
    <col min="15550" max="15558" width="0" style="3" hidden="1" customWidth="1"/>
    <col min="15559" max="15796" width="9.140625" style="3"/>
    <col min="15797" max="15797" width="0" style="3" hidden="1" customWidth="1"/>
    <col min="15798" max="15798" width="17.7109375" style="3" customWidth="1"/>
    <col min="15799" max="15799" width="14.28515625" style="3" customWidth="1"/>
    <col min="15800" max="15800" width="13.7109375" style="3" customWidth="1"/>
    <col min="15801" max="15801" width="3.5703125" style="3" customWidth="1"/>
    <col min="15802" max="15802" width="20.42578125" style="3" customWidth="1"/>
    <col min="15803" max="15803" width="14.42578125" style="3" customWidth="1"/>
    <col min="15804" max="15804" width="15.5703125" style="3" customWidth="1"/>
    <col min="15805" max="15805" width="24.5703125" style="3" customWidth="1"/>
    <col min="15806" max="15814" width="0" style="3" hidden="1" customWidth="1"/>
    <col min="15815" max="16052" width="9.140625" style="3"/>
    <col min="16053" max="16053" width="0" style="3" hidden="1" customWidth="1"/>
    <col min="16054" max="16054" width="17.7109375" style="3" customWidth="1"/>
    <col min="16055" max="16055" width="14.28515625" style="3" customWidth="1"/>
    <col min="16056" max="16056" width="13.7109375" style="3" customWidth="1"/>
    <col min="16057" max="16057" width="3.5703125" style="3" customWidth="1"/>
    <col min="16058" max="16058" width="20.42578125" style="3" customWidth="1"/>
    <col min="16059" max="16059" width="14.42578125" style="3" customWidth="1"/>
    <col min="16060" max="16060" width="15.5703125" style="3" customWidth="1"/>
    <col min="16061" max="16061" width="24.5703125" style="3" customWidth="1"/>
    <col min="16062" max="16070" width="0" style="3" hidden="1" customWidth="1"/>
    <col min="16071" max="16319" width="9.140625" style="3"/>
    <col min="16320" max="16384" width="9.28515625" style="3" customWidth="1"/>
  </cols>
  <sheetData>
    <row r="6" spans="1:18" ht="14.25" thickBot="1"/>
    <row r="7" spans="1:18" ht="22.5">
      <c r="A7" s="2"/>
      <c r="B7" s="92" t="s">
        <v>22</v>
      </c>
      <c r="C7" s="92"/>
      <c r="D7" s="92"/>
      <c r="E7" s="92"/>
      <c r="F7" s="92"/>
      <c r="G7" s="75"/>
    </row>
    <row r="8" spans="1:18" ht="22.5">
      <c r="A8" s="4"/>
      <c r="B8" s="93" t="s">
        <v>18</v>
      </c>
      <c r="C8" s="93"/>
      <c r="D8" s="93"/>
      <c r="E8" s="93"/>
      <c r="F8" s="93"/>
      <c r="G8" s="59"/>
    </row>
    <row r="9" spans="1:18" s="8" customFormat="1" ht="30">
      <c r="A9" s="7"/>
      <c r="B9" s="28" t="s">
        <v>0</v>
      </c>
      <c r="C9" s="29" t="s">
        <v>1</v>
      </c>
      <c r="D9" s="36" t="s">
        <v>2</v>
      </c>
      <c r="E9" s="36" t="s">
        <v>3</v>
      </c>
      <c r="F9" s="37" t="s">
        <v>4</v>
      </c>
      <c r="G9" s="60" t="s">
        <v>51</v>
      </c>
    </row>
    <row r="10" spans="1:18" s="13" customFormat="1" ht="16.5">
      <c r="A10" s="9"/>
      <c r="B10" s="10" t="s">
        <v>11</v>
      </c>
      <c r="C10" s="76">
        <v>18655</v>
      </c>
      <c r="D10" s="11">
        <v>5</v>
      </c>
      <c r="E10" s="77">
        <v>130</v>
      </c>
      <c r="F10" s="33">
        <f>E10*C10/26</f>
        <v>93275</v>
      </c>
      <c r="G10" s="61">
        <f>15000*E10/26</f>
        <v>75000</v>
      </c>
      <c r="H10" s="12"/>
      <c r="J10" s="11">
        <f>D10</f>
        <v>5</v>
      </c>
      <c r="L10" s="13">
        <f>J10*27</f>
        <v>135</v>
      </c>
      <c r="N10" s="13">
        <f>J10*4</f>
        <v>20</v>
      </c>
    </row>
    <row r="11" spans="1:18" s="13" customFormat="1" ht="16.5">
      <c r="A11" s="9"/>
      <c r="B11" s="10" t="s">
        <v>12</v>
      </c>
      <c r="C11" s="76">
        <v>18655</v>
      </c>
      <c r="D11" s="11">
        <v>41</v>
      </c>
      <c r="E11" s="77">
        <v>1062</v>
      </c>
      <c r="F11" s="33">
        <f>E11*C11/26</f>
        <v>761985</v>
      </c>
      <c r="G11" s="61">
        <f>15000*E11/26</f>
        <v>612692.30769230775</v>
      </c>
      <c r="H11" s="12"/>
      <c r="J11" s="11">
        <f t="shared" ref="J11:J15" si="0">D11</f>
        <v>41</v>
      </c>
      <c r="L11" s="13">
        <f t="shared" ref="L11:L15" si="1">J11*27</f>
        <v>1107</v>
      </c>
      <c r="N11" s="13">
        <f t="shared" ref="N11:N15" si="2">J11*4</f>
        <v>164</v>
      </c>
      <c r="R11" s="13" t="s">
        <v>56</v>
      </c>
    </row>
    <row r="12" spans="1:18" s="13" customFormat="1" ht="16.5">
      <c r="A12" s="9"/>
      <c r="B12" s="10" t="s">
        <v>20</v>
      </c>
      <c r="C12" s="1">
        <v>12675</v>
      </c>
      <c r="D12" s="14">
        <v>8</v>
      </c>
      <c r="E12" s="77">
        <v>208</v>
      </c>
      <c r="F12" s="33">
        <f t="shared" ref="F12:F15" si="3">E12*C12/26</f>
        <v>101400</v>
      </c>
      <c r="G12" s="61">
        <f>F12</f>
        <v>101400</v>
      </c>
      <c r="H12" s="12"/>
      <c r="J12" s="11">
        <f t="shared" si="0"/>
        <v>8</v>
      </c>
      <c r="L12" s="13">
        <f t="shared" si="1"/>
        <v>216</v>
      </c>
      <c r="N12" s="13">
        <f t="shared" si="2"/>
        <v>32</v>
      </c>
      <c r="R12" s="13" t="s">
        <v>57</v>
      </c>
    </row>
    <row r="13" spans="1:18" s="13" customFormat="1" ht="16.5">
      <c r="A13" s="9"/>
      <c r="B13" s="10" t="s">
        <v>13</v>
      </c>
      <c r="C13" s="1">
        <v>12675</v>
      </c>
      <c r="D13" s="66">
        <v>153</v>
      </c>
      <c r="E13" s="77">
        <v>3926</v>
      </c>
      <c r="F13" s="33">
        <f t="shared" si="3"/>
        <v>1913925</v>
      </c>
      <c r="G13" s="61">
        <f t="shared" ref="G13:G15" si="4">F13</f>
        <v>1913925</v>
      </c>
      <c r="H13" s="12"/>
      <c r="J13" s="11">
        <f t="shared" si="0"/>
        <v>153</v>
      </c>
      <c r="L13" s="13">
        <f t="shared" si="1"/>
        <v>4131</v>
      </c>
      <c r="N13" s="13">
        <f t="shared" si="2"/>
        <v>612</v>
      </c>
      <c r="R13" s="13" t="s">
        <v>58</v>
      </c>
    </row>
    <row r="14" spans="1:18" s="13" customFormat="1" ht="16.5">
      <c r="A14" s="9"/>
      <c r="B14" s="67" t="s">
        <v>14</v>
      </c>
      <c r="C14" s="65">
        <v>11176</v>
      </c>
      <c r="D14" s="66">
        <v>5</v>
      </c>
      <c r="E14" s="77">
        <v>130</v>
      </c>
      <c r="F14" s="33">
        <f t="shared" si="3"/>
        <v>55880</v>
      </c>
      <c r="G14" s="61">
        <f t="shared" si="4"/>
        <v>55880</v>
      </c>
      <c r="H14" s="12"/>
      <c r="J14" s="11">
        <f t="shared" si="0"/>
        <v>5</v>
      </c>
      <c r="L14" s="13">
        <f t="shared" si="1"/>
        <v>135</v>
      </c>
      <c r="N14" s="13">
        <f t="shared" si="2"/>
        <v>20</v>
      </c>
      <c r="R14" s="13" t="s">
        <v>59</v>
      </c>
    </row>
    <row r="15" spans="1:18" s="13" customFormat="1" ht="16.5">
      <c r="A15" s="9"/>
      <c r="B15" s="67" t="s">
        <v>15</v>
      </c>
      <c r="C15" s="65">
        <v>11176</v>
      </c>
      <c r="D15" s="66">
        <v>41</v>
      </c>
      <c r="E15" s="77">
        <v>1066</v>
      </c>
      <c r="F15" s="33">
        <f t="shared" si="3"/>
        <v>458216</v>
      </c>
      <c r="G15" s="61">
        <f t="shared" si="4"/>
        <v>458216</v>
      </c>
      <c r="H15" s="12"/>
      <c r="J15" s="11">
        <f t="shared" si="0"/>
        <v>41</v>
      </c>
      <c r="L15" s="13">
        <f t="shared" si="1"/>
        <v>1107</v>
      </c>
      <c r="N15" s="13">
        <f t="shared" si="2"/>
        <v>164</v>
      </c>
      <c r="R15" s="13" t="s">
        <v>60</v>
      </c>
    </row>
    <row r="16" spans="1:18" s="19" customFormat="1" ht="15.75">
      <c r="A16" s="17"/>
      <c r="B16" s="94" t="s">
        <v>5</v>
      </c>
      <c r="C16" s="94"/>
      <c r="D16" s="94"/>
      <c r="E16" s="94"/>
      <c r="F16" s="68">
        <f>SUM(F10:F15)</f>
        <v>3384681</v>
      </c>
      <c r="G16" s="62">
        <f>SUM(G10:G15)</f>
        <v>3217113.307692308</v>
      </c>
      <c r="H16" s="18">
        <v>3254163</v>
      </c>
      <c r="I16" s="57">
        <f>H16-F16</f>
        <v>-130518</v>
      </c>
    </row>
    <row r="17" spans="1:14" s="21" customFormat="1" ht="15">
      <c r="A17" s="20"/>
      <c r="B17" s="69" t="s">
        <v>0</v>
      </c>
      <c r="C17" s="70" t="s">
        <v>6</v>
      </c>
      <c r="D17" s="70" t="s">
        <v>2</v>
      </c>
      <c r="E17" s="70" t="s">
        <v>7</v>
      </c>
      <c r="F17" s="71" t="s">
        <v>4</v>
      </c>
      <c r="G17" s="63"/>
    </row>
    <row r="18" spans="1:14" s="13" customFormat="1" ht="16.5">
      <c r="A18" s="9"/>
      <c r="B18" s="10" t="s">
        <v>12</v>
      </c>
      <c r="C18" s="65">
        <v>179</v>
      </c>
      <c r="D18" s="73">
        <f>D11</f>
        <v>41</v>
      </c>
      <c r="E18" s="78">
        <v>3940</v>
      </c>
      <c r="F18" s="58">
        <f>E18*C18</f>
        <v>705260</v>
      </c>
      <c r="G18" s="61">
        <f>C18*E18</f>
        <v>705260</v>
      </c>
      <c r="I18" s="13">
        <v>100</v>
      </c>
      <c r="J18" s="13">
        <f>I18*D18</f>
        <v>4100</v>
      </c>
      <c r="L18" s="13">
        <f>E11</f>
        <v>1062</v>
      </c>
      <c r="M18" s="13">
        <f>L18*4</f>
        <v>4248</v>
      </c>
      <c r="N18" s="13">
        <f>M18-D11</f>
        <v>4207</v>
      </c>
    </row>
    <row r="19" spans="1:14" s="13" customFormat="1" ht="16.5">
      <c r="A19" s="9"/>
      <c r="B19" s="10" t="s">
        <v>13</v>
      </c>
      <c r="C19" s="65">
        <v>122</v>
      </c>
      <c r="D19" s="66">
        <f>D13</f>
        <v>153</v>
      </c>
      <c r="E19" s="78">
        <v>13706</v>
      </c>
      <c r="F19" s="58">
        <v>1672109</v>
      </c>
      <c r="G19" s="61">
        <f t="shared" ref="G19:G20" si="5">C19*E19</f>
        <v>1672132</v>
      </c>
      <c r="I19" s="13">
        <v>100</v>
      </c>
      <c r="J19" s="13">
        <f>I19*D19</f>
        <v>15300</v>
      </c>
      <c r="L19" s="13">
        <f>E13</f>
        <v>3926</v>
      </c>
      <c r="M19" s="13">
        <f t="shared" ref="M19:M20" si="6">L19*4</f>
        <v>15704</v>
      </c>
      <c r="N19" s="13">
        <f t="shared" ref="N19:N20" si="7">M19-D12</f>
        <v>15696</v>
      </c>
    </row>
    <row r="20" spans="1:14" s="13" customFormat="1" ht="16.5">
      <c r="A20" s="9"/>
      <c r="B20" s="67" t="s">
        <v>15</v>
      </c>
      <c r="C20" s="65">
        <v>108</v>
      </c>
      <c r="D20" s="66">
        <f>D15</f>
        <v>41</v>
      </c>
      <c r="E20" s="78">
        <v>3641</v>
      </c>
      <c r="F20" s="58">
        <f t="shared" ref="F20" si="8">E20*C20</f>
        <v>393228</v>
      </c>
      <c r="G20" s="61">
        <f t="shared" si="5"/>
        <v>393228</v>
      </c>
      <c r="I20" s="13">
        <v>100</v>
      </c>
      <c r="J20" s="13">
        <f>I20*D20</f>
        <v>4100</v>
      </c>
      <c r="L20" s="13">
        <f>E15</f>
        <v>1066</v>
      </c>
      <c r="M20" s="13">
        <f t="shared" si="6"/>
        <v>4264</v>
      </c>
      <c r="N20" s="13">
        <f t="shared" si="7"/>
        <v>4111</v>
      </c>
    </row>
    <row r="21" spans="1:14" s="13" customFormat="1" ht="15.75">
      <c r="A21" s="9"/>
      <c r="B21" s="94" t="s">
        <v>8</v>
      </c>
      <c r="C21" s="94"/>
      <c r="D21" s="94"/>
      <c r="E21" s="94"/>
      <c r="F21" s="68">
        <f>SUM(F18:F20)</f>
        <v>2770597</v>
      </c>
      <c r="G21" s="62"/>
    </row>
    <row r="22" spans="1:14" s="13" customFormat="1" ht="30">
      <c r="A22" s="9"/>
      <c r="B22" s="69" t="s">
        <v>0</v>
      </c>
      <c r="C22" s="70" t="s">
        <v>23</v>
      </c>
      <c r="D22" s="70" t="s">
        <v>2</v>
      </c>
      <c r="E22" s="70" t="s">
        <v>31</v>
      </c>
      <c r="F22" s="71" t="s">
        <v>4</v>
      </c>
      <c r="G22" s="63"/>
    </row>
    <row r="23" spans="1:14" s="13" customFormat="1" ht="16.5">
      <c r="A23" s="9"/>
      <c r="B23" s="32" t="s">
        <v>11</v>
      </c>
      <c r="C23" s="74">
        <v>717.5</v>
      </c>
      <c r="D23" s="73">
        <f>D10</f>
        <v>5</v>
      </c>
      <c r="E23" s="79">
        <v>20</v>
      </c>
      <c r="F23" s="58">
        <f>E23*C23</f>
        <v>14350</v>
      </c>
      <c r="G23" s="61"/>
      <c r="H23" s="13">
        <f t="shared" ref="H23:H28" si="9">E23*C23</f>
        <v>14350</v>
      </c>
      <c r="I23" s="13">
        <f t="shared" ref="I23:I28" si="10">E10+E23</f>
        <v>150</v>
      </c>
      <c r="J23" s="13">
        <f>D23*4</f>
        <v>20</v>
      </c>
      <c r="M23" s="13">
        <f>C10/26</f>
        <v>717.5</v>
      </c>
    </row>
    <row r="24" spans="1:14" s="13" customFormat="1" ht="16.5">
      <c r="A24" s="9"/>
      <c r="B24" s="32" t="s">
        <v>12</v>
      </c>
      <c r="C24" s="74">
        <v>717.5</v>
      </c>
      <c r="D24" s="73">
        <f t="shared" ref="D24:D28" si="11">D11</f>
        <v>41</v>
      </c>
      <c r="E24" s="79">
        <v>159</v>
      </c>
      <c r="F24" s="58">
        <f t="shared" ref="F24:F28" si="12">E24*C24</f>
        <v>114082.5</v>
      </c>
      <c r="G24" s="64"/>
      <c r="H24" s="13">
        <f t="shared" si="9"/>
        <v>114082.5</v>
      </c>
      <c r="I24" s="13">
        <f t="shared" si="10"/>
        <v>1221</v>
      </c>
      <c r="J24" s="13">
        <f t="shared" ref="J24:J27" si="13">D24*4</f>
        <v>164</v>
      </c>
      <c r="M24" s="13">
        <f>C12/26</f>
        <v>487.5</v>
      </c>
    </row>
    <row r="25" spans="1:14" s="13" customFormat="1" ht="16.5">
      <c r="A25" s="9"/>
      <c r="B25" s="32" t="s">
        <v>20</v>
      </c>
      <c r="C25" s="74">
        <v>487.5</v>
      </c>
      <c r="D25" s="73">
        <f t="shared" si="11"/>
        <v>8</v>
      </c>
      <c r="E25" s="79">
        <v>32</v>
      </c>
      <c r="F25" s="58">
        <f t="shared" si="12"/>
        <v>15600</v>
      </c>
      <c r="G25" s="61"/>
      <c r="H25" s="13">
        <f t="shared" si="9"/>
        <v>15600</v>
      </c>
      <c r="I25" s="13">
        <f t="shared" si="10"/>
        <v>240</v>
      </c>
      <c r="J25" s="13">
        <f t="shared" si="13"/>
        <v>32</v>
      </c>
      <c r="M25" s="13">
        <f>C14/26</f>
        <v>429.84615384615387</v>
      </c>
    </row>
    <row r="26" spans="1:14" s="13" customFormat="1" ht="16.5">
      <c r="A26" s="9"/>
      <c r="B26" s="32" t="s">
        <v>13</v>
      </c>
      <c r="C26" s="74">
        <v>487.5</v>
      </c>
      <c r="D26" s="73">
        <f t="shared" si="11"/>
        <v>153</v>
      </c>
      <c r="E26" s="79">
        <v>591</v>
      </c>
      <c r="F26" s="58">
        <f t="shared" si="12"/>
        <v>288112.5</v>
      </c>
      <c r="G26" s="61"/>
      <c r="H26" s="13">
        <f t="shared" si="9"/>
        <v>288112.5</v>
      </c>
      <c r="I26" s="13">
        <f t="shared" si="10"/>
        <v>4517</v>
      </c>
      <c r="J26" s="13">
        <f t="shared" si="13"/>
        <v>612</v>
      </c>
    </row>
    <row r="27" spans="1:14" s="13" customFormat="1" ht="16.5">
      <c r="A27" s="9"/>
      <c r="B27" s="72" t="s">
        <v>14</v>
      </c>
      <c r="C27" s="74">
        <v>430</v>
      </c>
      <c r="D27" s="73">
        <f t="shared" si="11"/>
        <v>5</v>
      </c>
      <c r="E27" s="79">
        <v>20</v>
      </c>
      <c r="F27" s="58">
        <v>8597</v>
      </c>
      <c r="G27" s="61"/>
      <c r="H27" s="13">
        <f t="shared" si="9"/>
        <v>8600</v>
      </c>
      <c r="I27" s="13">
        <f t="shared" si="10"/>
        <v>150</v>
      </c>
      <c r="J27" s="13">
        <f t="shared" si="13"/>
        <v>20</v>
      </c>
    </row>
    <row r="28" spans="1:14" s="13" customFormat="1" ht="16.5">
      <c r="A28" s="9"/>
      <c r="B28" s="72" t="s">
        <v>15</v>
      </c>
      <c r="C28" s="74">
        <v>430</v>
      </c>
      <c r="D28" s="73">
        <f t="shared" si="11"/>
        <v>41</v>
      </c>
      <c r="E28" s="79">
        <v>160</v>
      </c>
      <c r="F28" s="58">
        <f t="shared" si="12"/>
        <v>68800</v>
      </c>
      <c r="G28" s="61"/>
      <c r="H28" s="13">
        <f t="shared" si="9"/>
        <v>68800</v>
      </c>
      <c r="I28" s="13">
        <f t="shared" si="10"/>
        <v>1226</v>
      </c>
      <c r="J28" s="13">
        <f>D28*4</f>
        <v>164</v>
      </c>
    </row>
    <row r="29" spans="1:14" s="13" customFormat="1" ht="15.75">
      <c r="A29" s="9"/>
      <c r="B29" s="95" t="s">
        <v>21</v>
      </c>
      <c r="C29" s="96"/>
      <c r="D29" s="96"/>
      <c r="E29" s="97"/>
      <c r="F29" s="68">
        <f>SUM(F23:F28)</f>
        <v>509542</v>
      </c>
      <c r="G29" s="62"/>
      <c r="I29" s="13">
        <f>SUM(I23:I28)</f>
        <v>7504</v>
      </c>
    </row>
    <row r="30" spans="1:14" s="13" customFormat="1" ht="15.75">
      <c r="A30" s="6"/>
      <c r="B30" s="98" t="s">
        <v>61</v>
      </c>
      <c r="C30" s="99"/>
      <c r="D30" s="99"/>
      <c r="E30" s="100"/>
      <c r="F30" s="34">
        <f>F29+F21+F16</f>
        <v>6664820</v>
      </c>
      <c r="G30" s="62"/>
    </row>
    <row r="31" spans="1:14" s="13" customFormat="1" ht="16.5">
      <c r="A31" s="9" t="s">
        <v>9</v>
      </c>
      <c r="B31" s="101" t="s">
        <v>55</v>
      </c>
      <c r="C31" s="102"/>
      <c r="D31" s="103"/>
      <c r="E31" s="38">
        <v>3.2500000000000001E-2</v>
      </c>
      <c r="F31" s="33">
        <f>F30*E31</f>
        <v>216606.65</v>
      </c>
      <c r="G31" s="61"/>
    </row>
    <row r="32" spans="1:14" s="13" customFormat="1" ht="16.5">
      <c r="A32" s="9"/>
      <c r="B32" s="101" t="s">
        <v>54</v>
      </c>
      <c r="C32" s="102"/>
      <c r="D32" s="103"/>
      <c r="E32" s="39">
        <v>0.13</v>
      </c>
      <c r="F32" s="33">
        <f>G32</f>
        <v>418224.73000000004</v>
      </c>
      <c r="G32" s="61">
        <f>G16*E32</f>
        <v>418224.73000000004</v>
      </c>
    </row>
    <row r="33" spans="1:9" s="13" customFormat="1" ht="16.5">
      <c r="A33" s="9"/>
      <c r="B33" s="101" t="s">
        <v>17</v>
      </c>
      <c r="C33" s="102"/>
      <c r="D33" s="103"/>
      <c r="E33" s="39">
        <v>0.09</v>
      </c>
      <c r="F33" s="33">
        <f>F30*E33</f>
        <v>599833.79999999993</v>
      </c>
      <c r="G33" s="61"/>
    </row>
    <row r="34" spans="1:9" s="13" customFormat="1" ht="15.75">
      <c r="A34" s="9"/>
      <c r="B34" s="98" t="s">
        <v>24</v>
      </c>
      <c r="C34" s="99"/>
      <c r="D34" s="99"/>
      <c r="E34" s="100"/>
      <c r="F34" s="34">
        <f>SUM(F30:F33)</f>
        <v>7899485.1800000006</v>
      </c>
      <c r="G34" s="62"/>
    </row>
    <row r="35" spans="1:9" s="13" customFormat="1" ht="16.5">
      <c r="A35" s="9"/>
      <c r="B35" s="89" t="s">
        <v>25</v>
      </c>
      <c r="C35" s="90"/>
      <c r="D35" s="91"/>
      <c r="E35" s="40">
        <v>0.09</v>
      </c>
      <c r="F35" s="33">
        <f>F34*E35</f>
        <v>710953.66619999998</v>
      </c>
      <c r="G35" s="61"/>
    </row>
    <row r="36" spans="1:9" s="13" customFormat="1" ht="16.5">
      <c r="A36" s="9"/>
      <c r="B36" s="89" t="s">
        <v>26</v>
      </c>
      <c r="C36" s="90"/>
      <c r="D36" s="91"/>
      <c r="E36" s="40">
        <v>0.09</v>
      </c>
      <c r="F36" s="33">
        <f>F34*E36</f>
        <v>710953.66619999998</v>
      </c>
      <c r="G36" s="61"/>
    </row>
    <row r="37" spans="1:9" s="13" customFormat="1" ht="15.75">
      <c r="A37" s="9"/>
      <c r="B37" s="80" t="s">
        <v>41</v>
      </c>
      <c r="C37" s="81"/>
      <c r="D37" s="81"/>
      <c r="E37" s="82"/>
      <c r="F37" s="34">
        <f>F35+F34+F36</f>
        <v>9321392.5124000013</v>
      </c>
      <c r="G37" s="62">
        <v>9347797.1400000006</v>
      </c>
      <c r="H37" s="42">
        <f>G37-F37</f>
        <v>26404.627599999309</v>
      </c>
    </row>
    <row r="38" spans="1:9" s="13" customFormat="1" ht="16.5">
      <c r="A38" s="6"/>
      <c r="B38" s="83" t="s">
        <v>27</v>
      </c>
      <c r="C38" s="84"/>
      <c r="D38" s="84"/>
      <c r="E38" s="56">
        <v>1E-3</v>
      </c>
      <c r="F38" s="33">
        <f>F34*E38</f>
        <v>7899.4851800000006</v>
      </c>
      <c r="G38" s="61"/>
    </row>
    <row r="39" spans="1:9" s="13" customFormat="1" ht="16.5">
      <c r="A39" s="6"/>
      <c r="B39" s="83" t="s">
        <v>28</v>
      </c>
      <c r="C39" s="84"/>
      <c r="D39" s="85"/>
      <c r="E39" s="41">
        <v>0.01</v>
      </c>
      <c r="F39" s="33">
        <f>F34*E39</f>
        <v>78994.851800000004</v>
      </c>
      <c r="G39" s="61"/>
    </row>
    <row r="40" spans="1:9" s="13" customFormat="1" ht="16.5">
      <c r="A40" s="6"/>
      <c r="B40" s="83" t="s">
        <v>29</v>
      </c>
      <c r="C40" s="84"/>
      <c r="D40" s="85"/>
      <c r="E40" s="41">
        <v>0.01</v>
      </c>
      <c r="F40" s="33">
        <f>F34*E40</f>
        <v>78994.851800000004</v>
      </c>
      <c r="G40" s="61"/>
    </row>
    <row r="41" spans="1:9" ht="15">
      <c r="A41" s="4"/>
      <c r="B41" s="86" t="s">
        <v>10</v>
      </c>
      <c r="C41" s="87"/>
      <c r="D41" s="87"/>
      <c r="E41" s="88"/>
      <c r="F41" s="34">
        <f>F37-F38-F39-F40</f>
        <v>9155503.3236200009</v>
      </c>
      <c r="G41" s="62"/>
      <c r="I41" s="22" t="e">
        <f>F41-#REF!</f>
        <v>#REF!</v>
      </c>
    </row>
    <row r="44" spans="1:9">
      <c r="I44" s="3">
        <v>4759443</v>
      </c>
    </row>
    <row r="53" spans="8:13" ht="15">
      <c r="H53" s="23"/>
    </row>
    <row r="54" spans="8:13" ht="15">
      <c r="H54" s="24"/>
    </row>
    <row r="55" spans="8:13" ht="15">
      <c r="H55" s="25"/>
    </row>
    <row r="56" spans="8:13" ht="15">
      <c r="H56" s="26"/>
    </row>
    <row r="57" spans="8:13" ht="15">
      <c r="H57" s="26"/>
    </row>
    <row r="58" spans="8:13" ht="15">
      <c r="H58" s="26"/>
    </row>
    <row r="59" spans="8:13" ht="15">
      <c r="H59" s="26"/>
    </row>
    <row r="60" spans="8:13" ht="15">
      <c r="H60" s="43" t="s">
        <v>32</v>
      </c>
      <c r="I60" s="3">
        <v>492</v>
      </c>
      <c r="L60" s="3" t="s">
        <v>37</v>
      </c>
      <c r="M60" s="3">
        <f>I60+I63+I66+I69+I72</f>
        <v>4092</v>
      </c>
    </row>
    <row r="61" spans="8:13" ht="15">
      <c r="H61" s="26"/>
      <c r="I61" s="3">
        <v>1296</v>
      </c>
      <c r="L61" s="3" t="s">
        <v>38</v>
      </c>
      <c r="M61" s="3">
        <f t="shared" ref="M61:M62" si="14">I61+I64+I67+I70+I73</f>
        <v>15896</v>
      </c>
    </row>
    <row r="62" spans="8:13" ht="15">
      <c r="H62" s="26"/>
      <c r="I62" s="3">
        <v>400</v>
      </c>
      <c r="L62" s="3" t="s">
        <v>39</v>
      </c>
      <c r="M62" s="3">
        <f t="shared" si="14"/>
        <v>4300</v>
      </c>
    </row>
    <row r="63" spans="8:13">
      <c r="H63" s="5" t="s">
        <v>33</v>
      </c>
      <c r="I63" s="3">
        <v>200</v>
      </c>
    </row>
    <row r="64" spans="8:13">
      <c r="H64" s="5"/>
      <c r="I64" s="3">
        <v>400</v>
      </c>
    </row>
    <row r="65" spans="8:9">
      <c r="I65" s="3">
        <v>200</v>
      </c>
    </row>
    <row r="66" spans="8:9">
      <c r="H66" s="3" t="s">
        <v>34</v>
      </c>
      <c r="I66" s="3">
        <v>1800</v>
      </c>
    </row>
    <row r="67" spans="8:9">
      <c r="I67" s="3">
        <v>9300</v>
      </c>
    </row>
    <row r="68" spans="8:9">
      <c r="I68" s="3">
        <v>2000</v>
      </c>
    </row>
    <row r="69" spans="8:9">
      <c r="H69" s="3" t="s">
        <v>35</v>
      </c>
      <c r="I69" s="3">
        <v>1200</v>
      </c>
    </row>
    <row r="70" spans="8:9">
      <c r="I70" s="3">
        <v>3500</v>
      </c>
    </row>
    <row r="71" spans="8:9">
      <c r="I71" s="3">
        <v>1200</v>
      </c>
    </row>
    <row r="72" spans="8:9">
      <c r="H72" s="3" t="s">
        <v>36</v>
      </c>
      <c r="I72" s="3">
        <v>400</v>
      </c>
    </row>
    <row r="73" spans="8:9">
      <c r="I73" s="3">
        <v>1400</v>
      </c>
    </row>
    <row r="74" spans="8:9">
      <c r="I74" s="3">
        <v>500</v>
      </c>
    </row>
  </sheetData>
  <mergeCells count="17">
    <mergeCell ref="B36:D36"/>
    <mergeCell ref="B7:F7"/>
    <mergeCell ref="B8:F8"/>
    <mergeCell ref="B16:E16"/>
    <mergeCell ref="B21:E21"/>
    <mergeCell ref="B29:E29"/>
    <mergeCell ref="B30:E30"/>
    <mergeCell ref="B31:D31"/>
    <mergeCell ref="B32:D32"/>
    <mergeCell ref="B33:D33"/>
    <mergeCell ref="B34:E34"/>
    <mergeCell ref="B35:D35"/>
    <mergeCell ref="B37:E37"/>
    <mergeCell ref="B38:D38"/>
    <mergeCell ref="B39:D39"/>
    <mergeCell ref="B40:D40"/>
    <mergeCell ref="B41:E41"/>
  </mergeCells>
  <pageMargins left="0.85" right="0.38" top="0.22" bottom="0.2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6:P56"/>
  <sheetViews>
    <sheetView showGridLines="0" topLeftCell="A3" workbookViewId="0">
      <selection activeCell="U32" sqref="U32"/>
    </sheetView>
  </sheetViews>
  <sheetFormatPr defaultRowHeight="13.5"/>
  <cols>
    <col min="1" max="1" width="7.85546875" style="3" customWidth="1"/>
    <col min="2" max="2" width="24.28515625" style="3" bestFit="1" customWidth="1"/>
    <col min="3" max="3" width="12.42578125" style="3" customWidth="1"/>
    <col min="4" max="4" width="15.5703125" style="3" customWidth="1"/>
    <col min="5" max="5" width="17.28515625" style="27" customWidth="1"/>
    <col min="6" max="7" width="13.140625" style="22" customWidth="1"/>
    <col min="8" max="8" width="12.5703125" style="3" bestFit="1" customWidth="1"/>
    <col min="9" max="10" width="9.140625" style="3"/>
    <col min="11" max="11" width="10.28515625" style="3" bestFit="1" customWidth="1"/>
    <col min="12" max="180" width="9.140625" style="3"/>
    <col min="181" max="181" width="0" style="3" hidden="1" customWidth="1"/>
    <col min="182" max="182" width="17.7109375" style="3" customWidth="1"/>
    <col min="183" max="183" width="14.28515625" style="3" customWidth="1"/>
    <col min="184" max="184" width="13.7109375" style="3" customWidth="1"/>
    <col min="185" max="185" width="3.5703125" style="3" customWidth="1"/>
    <col min="186" max="186" width="20.42578125" style="3" customWidth="1"/>
    <col min="187" max="187" width="14.42578125" style="3" customWidth="1"/>
    <col min="188" max="188" width="15.5703125" style="3" customWidth="1"/>
    <col min="189" max="189" width="24.5703125" style="3" customWidth="1"/>
    <col min="190" max="198" width="0" style="3" hidden="1" customWidth="1"/>
    <col min="199" max="436" width="9.140625" style="3"/>
    <col min="437" max="437" width="0" style="3" hidden="1" customWidth="1"/>
    <col min="438" max="438" width="17.7109375" style="3" customWidth="1"/>
    <col min="439" max="439" width="14.28515625" style="3" customWidth="1"/>
    <col min="440" max="440" width="13.7109375" style="3" customWidth="1"/>
    <col min="441" max="441" width="3.5703125" style="3" customWidth="1"/>
    <col min="442" max="442" width="20.42578125" style="3" customWidth="1"/>
    <col min="443" max="443" width="14.42578125" style="3" customWidth="1"/>
    <col min="444" max="444" width="15.5703125" style="3" customWidth="1"/>
    <col min="445" max="445" width="24.5703125" style="3" customWidth="1"/>
    <col min="446" max="454" width="0" style="3" hidden="1" customWidth="1"/>
    <col min="455" max="692" width="9.140625" style="3"/>
    <col min="693" max="693" width="0" style="3" hidden="1" customWidth="1"/>
    <col min="694" max="694" width="17.7109375" style="3" customWidth="1"/>
    <col min="695" max="695" width="14.28515625" style="3" customWidth="1"/>
    <col min="696" max="696" width="13.7109375" style="3" customWidth="1"/>
    <col min="697" max="697" width="3.5703125" style="3" customWidth="1"/>
    <col min="698" max="698" width="20.42578125" style="3" customWidth="1"/>
    <col min="699" max="699" width="14.42578125" style="3" customWidth="1"/>
    <col min="700" max="700" width="15.5703125" style="3" customWidth="1"/>
    <col min="701" max="701" width="24.5703125" style="3" customWidth="1"/>
    <col min="702" max="710" width="0" style="3" hidden="1" customWidth="1"/>
    <col min="711" max="948" width="9.140625" style="3"/>
    <col min="949" max="949" width="0" style="3" hidden="1" customWidth="1"/>
    <col min="950" max="950" width="17.7109375" style="3" customWidth="1"/>
    <col min="951" max="951" width="14.28515625" style="3" customWidth="1"/>
    <col min="952" max="952" width="13.7109375" style="3" customWidth="1"/>
    <col min="953" max="953" width="3.5703125" style="3" customWidth="1"/>
    <col min="954" max="954" width="20.42578125" style="3" customWidth="1"/>
    <col min="955" max="955" width="14.42578125" style="3" customWidth="1"/>
    <col min="956" max="956" width="15.5703125" style="3" customWidth="1"/>
    <col min="957" max="957" width="24.5703125" style="3" customWidth="1"/>
    <col min="958" max="966" width="0" style="3" hidden="1" customWidth="1"/>
    <col min="967" max="1204" width="9.140625" style="3"/>
    <col min="1205" max="1205" width="0" style="3" hidden="1" customWidth="1"/>
    <col min="1206" max="1206" width="17.7109375" style="3" customWidth="1"/>
    <col min="1207" max="1207" width="14.28515625" style="3" customWidth="1"/>
    <col min="1208" max="1208" width="13.7109375" style="3" customWidth="1"/>
    <col min="1209" max="1209" width="3.5703125" style="3" customWidth="1"/>
    <col min="1210" max="1210" width="20.42578125" style="3" customWidth="1"/>
    <col min="1211" max="1211" width="14.42578125" style="3" customWidth="1"/>
    <col min="1212" max="1212" width="15.5703125" style="3" customWidth="1"/>
    <col min="1213" max="1213" width="24.5703125" style="3" customWidth="1"/>
    <col min="1214" max="1222" width="0" style="3" hidden="1" customWidth="1"/>
    <col min="1223" max="1460" width="9.140625" style="3"/>
    <col min="1461" max="1461" width="0" style="3" hidden="1" customWidth="1"/>
    <col min="1462" max="1462" width="17.7109375" style="3" customWidth="1"/>
    <col min="1463" max="1463" width="14.28515625" style="3" customWidth="1"/>
    <col min="1464" max="1464" width="13.7109375" style="3" customWidth="1"/>
    <col min="1465" max="1465" width="3.5703125" style="3" customWidth="1"/>
    <col min="1466" max="1466" width="20.42578125" style="3" customWidth="1"/>
    <col min="1467" max="1467" width="14.42578125" style="3" customWidth="1"/>
    <col min="1468" max="1468" width="15.5703125" style="3" customWidth="1"/>
    <col min="1469" max="1469" width="24.5703125" style="3" customWidth="1"/>
    <col min="1470" max="1478" width="0" style="3" hidden="1" customWidth="1"/>
    <col min="1479" max="1716" width="9.140625" style="3"/>
    <col min="1717" max="1717" width="0" style="3" hidden="1" customWidth="1"/>
    <col min="1718" max="1718" width="17.7109375" style="3" customWidth="1"/>
    <col min="1719" max="1719" width="14.28515625" style="3" customWidth="1"/>
    <col min="1720" max="1720" width="13.7109375" style="3" customWidth="1"/>
    <col min="1721" max="1721" width="3.5703125" style="3" customWidth="1"/>
    <col min="1722" max="1722" width="20.42578125" style="3" customWidth="1"/>
    <col min="1723" max="1723" width="14.42578125" style="3" customWidth="1"/>
    <col min="1724" max="1724" width="15.5703125" style="3" customWidth="1"/>
    <col min="1725" max="1725" width="24.5703125" style="3" customWidth="1"/>
    <col min="1726" max="1734" width="0" style="3" hidden="1" customWidth="1"/>
    <col min="1735" max="1972" width="9.140625" style="3"/>
    <col min="1973" max="1973" width="0" style="3" hidden="1" customWidth="1"/>
    <col min="1974" max="1974" width="17.7109375" style="3" customWidth="1"/>
    <col min="1975" max="1975" width="14.28515625" style="3" customWidth="1"/>
    <col min="1976" max="1976" width="13.7109375" style="3" customWidth="1"/>
    <col min="1977" max="1977" width="3.5703125" style="3" customWidth="1"/>
    <col min="1978" max="1978" width="20.42578125" style="3" customWidth="1"/>
    <col min="1979" max="1979" width="14.42578125" style="3" customWidth="1"/>
    <col min="1980" max="1980" width="15.5703125" style="3" customWidth="1"/>
    <col min="1981" max="1981" width="24.5703125" style="3" customWidth="1"/>
    <col min="1982" max="1990" width="0" style="3" hidden="1" customWidth="1"/>
    <col min="1991" max="2228" width="9.140625" style="3"/>
    <col min="2229" max="2229" width="0" style="3" hidden="1" customWidth="1"/>
    <col min="2230" max="2230" width="17.7109375" style="3" customWidth="1"/>
    <col min="2231" max="2231" width="14.28515625" style="3" customWidth="1"/>
    <col min="2232" max="2232" width="13.7109375" style="3" customWidth="1"/>
    <col min="2233" max="2233" width="3.5703125" style="3" customWidth="1"/>
    <col min="2234" max="2234" width="20.42578125" style="3" customWidth="1"/>
    <col min="2235" max="2235" width="14.42578125" style="3" customWidth="1"/>
    <col min="2236" max="2236" width="15.5703125" style="3" customWidth="1"/>
    <col min="2237" max="2237" width="24.5703125" style="3" customWidth="1"/>
    <col min="2238" max="2246" width="0" style="3" hidden="1" customWidth="1"/>
    <col min="2247" max="2484" width="9.140625" style="3"/>
    <col min="2485" max="2485" width="0" style="3" hidden="1" customWidth="1"/>
    <col min="2486" max="2486" width="17.7109375" style="3" customWidth="1"/>
    <col min="2487" max="2487" width="14.28515625" style="3" customWidth="1"/>
    <col min="2488" max="2488" width="13.7109375" style="3" customWidth="1"/>
    <col min="2489" max="2489" width="3.5703125" style="3" customWidth="1"/>
    <col min="2490" max="2490" width="20.42578125" style="3" customWidth="1"/>
    <col min="2491" max="2491" width="14.42578125" style="3" customWidth="1"/>
    <col min="2492" max="2492" width="15.5703125" style="3" customWidth="1"/>
    <col min="2493" max="2493" width="24.5703125" style="3" customWidth="1"/>
    <col min="2494" max="2502" width="0" style="3" hidden="1" customWidth="1"/>
    <col min="2503" max="2740" width="9.140625" style="3"/>
    <col min="2741" max="2741" width="0" style="3" hidden="1" customWidth="1"/>
    <col min="2742" max="2742" width="17.7109375" style="3" customWidth="1"/>
    <col min="2743" max="2743" width="14.28515625" style="3" customWidth="1"/>
    <col min="2744" max="2744" width="13.7109375" style="3" customWidth="1"/>
    <col min="2745" max="2745" width="3.5703125" style="3" customWidth="1"/>
    <col min="2746" max="2746" width="20.42578125" style="3" customWidth="1"/>
    <col min="2747" max="2747" width="14.42578125" style="3" customWidth="1"/>
    <col min="2748" max="2748" width="15.5703125" style="3" customWidth="1"/>
    <col min="2749" max="2749" width="24.5703125" style="3" customWidth="1"/>
    <col min="2750" max="2758" width="0" style="3" hidden="1" customWidth="1"/>
    <col min="2759" max="2996" width="9.140625" style="3"/>
    <col min="2997" max="2997" width="0" style="3" hidden="1" customWidth="1"/>
    <col min="2998" max="2998" width="17.7109375" style="3" customWidth="1"/>
    <col min="2999" max="2999" width="14.28515625" style="3" customWidth="1"/>
    <col min="3000" max="3000" width="13.7109375" style="3" customWidth="1"/>
    <col min="3001" max="3001" width="3.5703125" style="3" customWidth="1"/>
    <col min="3002" max="3002" width="20.42578125" style="3" customWidth="1"/>
    <col min="3003" max="3003" width="14.42578125" style="3" customWidth="1"/>
    <col min="3004" max="3004" width="15.5703125" style="3" customWidth="1"/>
    <col min="3005" max="3005" width="24.5703125" style="3" customWidth="1"/>
    <col min="3006" max="3014" width="0" style="3" hidden="1" customWidth="1"/>
    <col min="3015" max="3252" width="9.140625" style="3"/>
    <col min="3253" max="3253" width="0" style="3" hidden="1" customWidth="1"/>
    <col min="3254" max="3254" width="17.7109375" style="3" customWidth="1"/>
    <col min="3255" max="3255" width="14.28515625" style="3" customWidth="1"/>
    <col min="3256" max="3256" width="13.7109375" style="3" customWidth="1"/>
    <col min="3257" max="3257" width="3.5703125" style="3" customWidth="1"/>
    <col min="3258" max="3258" width="20.42578125" style="3" customWidth="1"/>
    <col min="3259" max="3259" width="14.42578125" style="3" customWidth="1"/>
    <col min="3260" max="3260" width="15.5703125" style="3" customWidth="1"/>
    <col min="3261" max="3261" width="24.5703125" style="3" customWidth="1"/>
    <col min="3262" max="3270" width="0" style="3" hidden="1" customWidth="1"/>
    <col min="3271" max="3508" width="9.140625" style="3"/>
    <col min="3509" max="3509" width="0" style="3" hidden="1" customWidth="1"/>
    <col min="3510" max="3510" width="17.7109375" style="3" customWidth="1"/>
    <col min="3511" max="3511" width="14.28515625" style="3" customWidth="1"/>
    <col min="3512" max="3512" width="13.7109375" style="3" customWidth="1"/>
    <col min="3513" max="3513" width="3.5703125" style="3" customWidth="1"/>
    <col min="3514" max="3514" width="20.42578125" style="3" customWidth="1"/>
    <col min="3515" max="3515" width="14.42578125" style="3" customWidth="1"/>
    <col min="3516" max="3516" width="15.5703125" style="3" customWidth="1"/>
    <col min="3517" max="3517" width="24.5703125" style="3" customWidth="1"/>
    <col min="3518" max="3526" width="0" style="3" hidden="1" customWidth="1"/>
    <col min="3527" max="3764" width="9.140625" style="3"/>
    <col min="3765" max="3765" width="0" style="3" hidden="1" customWidth="1"/>
    <col min="3766" max="3766" width="17.7109375" style="3" customWidth="1"/>
    <col min="3767" max="3767" width="14.28515625" style="3" customWidth="1"/>
    <col min="3768" max="3768" width="13.7109375" style="3" customWidth="1"/>
    <col min="3769" max="3769" width="3.5703125" style="3" customWidth="1"/>
    <col min="3770" max="3770" width="20.42578125" style="3" customWidth="1"/>
    <col min="3771" max="3771" width="14.42578125" style="3" customWidth="1"/>
    <col min="3772" max="3772" width="15.5703125" style="3" customWidth="1"/>
    <col min="3773" max="3773" width="24.5703125" style="3" customWidth="1"/>
    <col min="3774" max="3782" width="0" style="3" hidden="1" customWidth="1"/>
    <col min="3783" max="4020" width="9.140625" style="3"/>
    <col min="4021" max="4021" width="0" style="3" hidden="1" customWidth="1"/>
    <col min="4022" max="4022" width="17.7109375" style="3" customWidth="1"/>
    <col min="4023" max="4023" width="14.28515625" style="3" customWidth="1"/>
    <col min="4024" max="4024" width="13.7109375" style="3" customWidth="1"/>
    <col min="4025" max="4025" width="3.5703125" style="3" customWidth="1"/>
    <col min="4026" max="4026" width="20.42578125" style="3" customWidth="1"/>
    <col min="4027" max="4027" width="14.42578125" style="3" customWidth="1"/>
    <col min="4028" max="4028" width="15.5703125" style="3" customWidth="1"/>
    <col min="4029" max="4029" width="24.5703125" style="3" customWidth="1"/>
    <col min="4030" max="4038" width="0" style="3" hidden="1" customWidth="1"/>
    <col min="4039" max="4276" width="9.140625" style="3"/>
    <col min="4277" max="4277" width="0" style="3" hidden="1" customWidth="1"/>
    <col min="4278" max="4278" width="17.7109375" style="3" customWidth="1"/>
    <col min="4279" max="4279" width="14.28515625" style="3" customWidth="1"/>
    <col min="4280" max="4280" width="13.7109375" style="3" customWidth="1"/>
    <col min="4281" max="4281" width="3.5703125" style="3" customWidth="1"/>
    <col min="4282" max="4282" width="20.42578125" style="3" customWidth="1"/>
    <col min="4283" max="4283" width="14.42578125" style="3" customWidth="1"/>
    <col min="4284" max="4284" width="15.5703125" style="3" customWidth="1"/>
    <col min="4285" max="4285" width="24.5703125" style="3" customWidth="1"/>
    <col min="4286" max="4294" width="0" style="3" hidden="1" customWidth="1"/>
    <col min="4295" max="4532" width="9.140625" style="3"/>
    <col min="4533" max="4533" width="0" style="3" hidden="1" customWidth="1"/>
    <col min="4534" max="4534" width="17.7109375" style="3" customWidth="1"/>
    <col min="4535" max="4535" width="14.28515625" style="3" customWidth="1"/>
    <col min="4536" max="4536" width="13.7109375" style="3" customWidth="1"/>
    <col min="4537" max="4537" width="3.5703125" style="3" customWidth="1"/>
    <col min="4538" max="4538" width="20.42578125" style="3" customWidth="1"/>
    <col min="4539" max="4539" width="14.42578125" style="3" customWidth="1"/>
    <col min="4540" max="4540" width="15.5703125" style="3" customWidth="1"/>
    <col min="4541" max="4541" width="24.5703125" style="3" customWidth="1"/>
    <col min="4542" max="4550" width="0" style="3" hidden="1" customWidth="1"/>
    <col min="4551" max="4788" width="9.140625" style="3"/>
    <col min="4789" max="4789" width="0" style="3" hidden="1" customWidth="1"/>
    <col min="4790" max="4790" width="17.7109375" style="3" customWidth="1"/>
    <col min="4791" max="4791" width="14.28515625" style="3" customWidth="1"/>
    <col min="4792" max="4792" width="13.7109375" style="3" customWidth="1"/>
    <col min="4793" max="4793" width="3.5703125" style="3" customWidth="1"/>
    <col min="4794" max="4794" width="20.42578125" style="3" customWidth="1"/>
    <col min="4795" max="4795" width="14.42578125" style="3" customWidth="1"/>
    <col min="4796" max="4796" width="15.5703125" style="3" customWidth="1"/>
    <col min="4797" max="4797" width="24.5703125" style="3" customWidth="1"/>
    <col min="4798" max="4806" width="0" style="3" hidden="1" customWidth="1"/>
    <col min="4807" max="5044" width="9.140625" style="3"/>
    <col min="5045" max="5045" width="0" style="3" hidden="1" customWidth="1"/>
    <col min="5046" max="5046" width="17.7109375" style="3" customWidth="1"/>
    <col min="5047" max="5047" width="14.28515625" style="3" customWidth="1"/>
    <col min="5048" max="5048" width="13.7109375" style="3" customWidth="1"/>
    <col min="5049" max="5049" width="3.5703125" style="3" customWidth="1"/>
    <col min="5050" max="5050" width="20.42578125" style="3" customWidth="1"/>
    <col min="5051" max="5051" width="14.42578125" style="3" customWidth="1"/>
    <col min="5052" max="5052" width="15.5703125" style="3" customWidth="1"/>
    <col min="5053" max="5053" width="24.5703125" style="3" customWidth="1"/>
    <col min="5054" max="5062" width="0" style="3" hidden="1" customWidth="1"/>
    <col min="5063" max="5300" width="9.140625" style="3"/>
    <col min="5301" max="5301" width="0" style="3" hidden="1" customWidth="1"/>
    <col min="5302" max="5302" width="17.7109375" style="3" customWidth="1"/>
    <col min="5303" max="5303" width="14.28515625" style="3" customWidth="1"/>
    <col min="5304" max="5304" width="13.7109375" style="3" customWidth="1"/>
    <col min="5305" max="5305" width="3.5703125" style="3" customWidth="1"/>
    <col min="5306" max="5306" width="20.42578125" style="3" customWidth="1"/>
    <col min="5307" max="5307" width="14.42578125" style="3" customWidth="1"/>
    <col min="5308" max="5308" width="15.5703125" style="3" customWidth="1"/>
    <col min="5309" max="5309" width="24.5703125" style="3" customWidth="1"/>
    <col min="5310" max="5318" width="0" style="3" hidden="1" customWidth="1"/>
    <col min="5319" max="5556" width="9.140625" style="3"/>
    <col min="5557" max="5557" width="0" style="3" hidden="1" customWidth="1"/>
    <col min="5558" max="5558" width="17.7109375" style="3" customWidth="1"/>
    <col min="5559" max="5559" width="14.28515625" style="3" customWidth="1"/>
    <col min="5560" max="5560" width="13.7109375" style="3" customWidth="1"/>
    <col min="5561" max="5561" width="3.5703125" style="3" customWidth="1"/>
    <col min="5562" max="5562" width="20.42578125" style="3" customWidth="1"/>
    <col min="5563" max="5563" width="14.42578125" style="3" customWidth="1"/>
    <col min="5564" max="5564" width="15.5703125" style="3" customWidth="1"/>
    <col min="5565" max="5565" width="24.5703125" style="3" customWidth="1"/>
    <col min="5566" max="5574" width="0" style="3" hidden="1" customWidth="1"/>
    <col min="5575" max="5812" width="9.140625" style="3"/>
    <col min="5813" max="5813" width="0" style="3" hidden="1" customWidth="1"/>
    <col min="5814" max="5814" width="17.7109375" style="3" customWidth="1"/>
    <col min="5815" max="5815" width="14.28515625" style="3" customWidth="1"/>
    <col min="5816" max="5816" width="13.7109375" style="3" customWidth="1"/>
    <col min="5817" max="5817" width="3.5703125" style="3" customWidth="1"/>
    <col min="5818" max="5818" width="20.42578125" style="3" customWidth="1"/>
    <col min="5819" max="5819" width="14.42578125" style="3" customWidth="1"/>
    <col min="5820" max="5820" width="15.5703125" style="3" customWidth="1"/>
    <col min="5821" max="5821" width="24.5703125" style="3" customWidth="1"/>
    <col min="5822" max="5830" width="0" style="3" hidden="1" customWidth="1"/>
    <col min="5831" max="6068" width="9.140625" style="3"/>
    <col min="6069" max="6069" width="0" style="3" hidden="1" customWidth="1"/>
    <col min="6070" max="6070" width="17.7109375" style="3" customWidth="1"/>
    <col min="6071" max="6071" width="14.28515625" style="3" customWidth="1"/>
    <col min="6072" max="6072" width="13.7109375" style="3" customWidth="1"/>
    <col min="6073" max="6073" width="3.5703125" style="3" customWidth="1"/>
    <col min="6074" max="6074" width="20.42578125" style="3" customWidth="1"/>
    <col min="6075" max="6075" width="14.42578125" style="3" customWidth="1"/>
    <col min="6076" max="6076" width="15.5703125" style="3" customWidth="1"/>
    <col min="6077" max="6077" width="24.5703125" style="3" customWidth="1"/>
    <col min="6078" max="6086" width="0" style="3" hidden="1" customWidth="1"/>
    <col min="6087" max="6324" width="9.140625" style="3"/>
    <col min="6325" max="6325" width="0" style="3" hidden="1" customWidth="1"/>
    <col min="6326" max="6326" width="17.7109375" style="3" customWidth="1"/>
    <col min="6327" max="6327" width="14.28515625" style="3" customWidth="1"/>
    <col min="6328" max="6328" width="13.7109375" style="3" customWidth="1"/>
    <col min="6329" max="6329" width="3.5703125" style="3" customWidth="1"/>
    <col min="6330" max="6330" width="20.42578125" style="3" customWidth="1"/>
    <col min="6331" max="6331" width="14.42578125" style="3" customWidth="1"/>
    <col min="6332" max="6332" width="15.5703125" style="3" customWidth="1"/>
    <col min="6333" max="6333" width="24.5703125" style="3" customWidth="1"/>
    <col min="6334" max="6342" width="0" style="3" hidden="1" customWidth="1"/>
    <col min="6343" max="6580" width="9.140625" style="3"/>
    <col min="6581" max="6581" width="0" style="3" hidden="1" customWidth="1"/>
    <col min="6582" max="6582" width="17.7109375" style="3" customWidth="1"/>
    <col min="6583" max="6583" width="14.28515625" style="3" customWidth="1"/>
    <col min="6584" max="6584" width="13.7109375" style="3" customWidth="1"/>
    <col min="6585" max="6585" width="3.5703125" style="3" customWidth="1"/>
    <col min="6586" max="6586" width="20.42578125" style="3" customWidth="1"/>
    <col min="6587" max="6587" width="14.42578125" style="3" customWidth="1"/>
    <col min="6588" max="6588" width="15.5703125" style="3" customWidth="1"/>
    <col min="6589" max="6589" width="24.5703125" style="3" customWidth="1"/>
    <col min="6590" max="6598" width="0" style="3" hidden="1" customWidth="1"/>
    <col min="6599" max="6836" width="9.140625" style="3"/>
    <col min="6837" max="6837" width="0" style="3" hidden="1" customWidth="1"/>
    <col min="6838" max="6838" width="17.7109375" style="3" customWidth="1"/>
    <col min="6839" max="6839" width="14.28515625" style="3" customWidth="1"/>
    <col min="6840" max="6840" width="13.7109375" style="3" customWidth="1"/>
    <col min="6841" max="6841" width="3.5703125" style="3" customWidth="1"/>
    <col min="6842" max="6842" width="20.42578125" style="3" customWidth="1"/>
    <col min="6843" max="6843" width="14.42578125" style="3" customWidth="1"/>
    <col min="6844" max="6844" width="15.5703125" style="3" customWidth="1"/>
    <col min="6845" max="6845" width="24.5703125" style="3" customWidth="1"/>
    <col min="6846" max="6854" width="0" style="3" hidden="1" customWidth="1"/>
    <col min="6855" max="7092" width="9.140625" style="3"/>
    <col min="7093" max="7093" width="0" style="3" hidden="1" customWidth="1"/>
    <col min="7094" max="7094" width="17.7109375" style="3" customWidth="1"/>
    <col min="7095" max="7095" width="14.28515625" style="3" customWidth="1"/>
    <col min="7096" max="7096" width="13.7109375" style="3" customWidth="1"/>
    <col min="7097" max="7097" width="3.5703125" style="3" customWidth="1"/>
    <col min="7098" max="7098" width="20.42578125" style="3" customWidth="1"/>
    <col min="7099" max="7099" width="14.42578125" style="3" customWidth="1"/>
    <col min="7100" max="7100" width="15.5703125" style="3" customWidth="1"/>
    <col min="7101" max="7101" width="24.5703125" style="3" customWidth="1"/>
    <col min="7102" max="7110" width="0" style="3" hidden="1" customWidth="1"/>
    <col min="7111" max="7348" width="9.140625" style="3"/>
    <col min="7349" max="7349" width="0" style="3" hidden="1" customWidth="1"/>
    <col min="7350" max="7350" width="17.7109375" style="3" customWidth="1"/>
    <col min="7351" max="7351" width="14.28515625" style="3" customWidth="1"/>
    <col min="7352" max="7352" width="13.7109375" style="3" customWidth="1"/>
    <col min="7353" max="7353" width="3.5703125" style="3" customWidth="1"/>
    <col min="7354" max="7354" width="20.42578125" style="3" customWidth="1"/>
    <col min="7355" max="7355" width="14.42578125" style="3" customWidth="1"/>
    <col min="7356" max="7356" width="15.5703125" style="3" customWidth="1"/>
    <col min="7357" max="7357" width="24.5703125" style="3" customWidth="1"/>
    <col min="7358" max="7366" width="0" style="3" hidden="1" customWidth="1"/>
    <col min="7367" max="7604" width="9.140625" style="3"/>
    <col min="7605" max="7605" width="0" style="3" hidden="1" customWidth="1"/>
    <col min="7606" max="7606" width="17.7109375" style="3" customWidth="1"/>
    <col min="7607" max="7607" width="14.28515625" style="3" customWidth="1"/>
    <col min="7608" max="7608" width="13.7109375" style="3" customWidth="1"/>
    <col min="7609" max="7609" width="3.5703125" style="3" customWidth="1"/>
    <col min="7610" max="7610" width="20.42578125" style="3" customWidth="1"/>
    <col min="7611" max="7611" width="14.42578125" style="3" customWidth="1"/>
    <col min="7612" max="7612" width="15.5703125" style="3" customWidth="1"/>
    <col min="7613" max="7613" width="24.5703125" style="3" customWidth="1"/>
    <col min="7614" max="7622" width="0" style="3" hidden="1" customWidth="1"/>
    <col min="7623" max="7860" width="9.140625" style="3"/>
    <col min="7861" max="7861" width="0" style="3" hidden="1" customWidth="1"/>
    <col min="7862" max="7862" width="17.7109375" style="3" customWidth="1"/>
    <col min="7863" max="7863" width="14.28515625" style="3" customWidth="1"/>
    <col min="7864" max="7864" width="13.7109375" style="3" customWidth="1"/>
    <col min="7865" max="7865" width="3.5703125" style="3" customWidth="1"/>
    <col min="7866" max="7866" width="20.42578125" style="3" customWidth="1"/>
    <col min="7867" max="7867" width="14.42578125" style="3" customWidth="1"/>
    <col min="7868" max="7868" width="15.5703125" style="3" customWidth="1"/>
    <col min="7869" max="7869" width="24.5703125" style="3" customWidth="1"/>
    <col min="7870" max="7878" width="0" style="3" hidden="1" customWidth="1"/>
    <col min="7879" max="8116" width="9.140625" style="3"/>
    <col min="8117" max="8117" width="0" style="3" hidden="1" customWidth="1"/>
    <col min="8118" max="8118" width="17.7109375" style="3" customWidth="1"/>
    <col min="8119" max="8119" width="14.28515625" style="3" customWidth="1"/>
    <col min="8120" max="8120" width="13.7109375" style="3" customWidth="1"/>
    <col min="8121" max="8121" width="3.5703125" style="3" customWidth="1"/>
    <col min="8122" max="8122" width="20.42578125" style="3" customWidth="1"/>
    <col min="8123" max="8123" width="14.42578125" style="3" customWidth="1"/>
    <col min="8124" max="8124" width="15.5703125" style="3" customWidth="1"/>
    <col min="8125" max="8125" width="24.5703125" style="3" customWidth="1"/>
    <col min="8126" max="8134" width="0" style="3" hidden="1" customWidth="1"/>
    <col min="8135" max="8372" width="9.140625" style="3"/>
    <col min="8373" max="8373" width="0" style="3" hidden="1" customWidth="1"/>
    <col min="8374" max="8374" width="17.7109375" style="3" customWidth="1"/>
    <col min="8375" max="8375" width="14.28515625" style="3" customWidth="1"/>
    <col min="8376" max="8376" width="13.7109375" style="3" customWidth="1"/>
    <col min="8377" max="8377" width="3.5703125" style="3" customWidth="1"/>
    <col min="8378" max="8378" width="20.42578125" style="3" customWidth="1"/>
    <col min="8379" max="8379" width="14.42578125" style="3" customWidth="1"/>
    <col min="8380" max="8380" width="15.5703125" style="3" customWidth="1"/>
    <col min="8381" max="8381" width="24.5703125" style="3" customWidth="1"/>
    <col min="8382" max="8390" width="0" style="3" hidden="1" customWidth="1"/>
    <col min="8391" max="8628" width="9.140625" style="3"/>
    <col min="8629" max="8629" width="0" style="3" hidden="1" customWidth="1"/>
    <col min="8630" max="8630" width="17.7109375" style="3" customWidth="1"/>
    <col min="8631" max="8631" width="14.28515625" style="3" customWidth="1"/>
    <col min="8632" max="8632" width="13.7109375" style="3" customWidth="1"/>
    <col min="8633" max="8633" width="3.5703125" style="3" customWidth="1"/>
    <col min="8634" max="8634" width="20.42578125" style="3" customWidth="1"/>
    <col min="8635" max="8635" width="14.42578125" style="3" customWidth="1"/>
    <col min="8636" max="8636" width="15.5703125" style="3" customWidth="1"/>
    <col min="8637" max="8637" width="24.5703125" style="3" customWidth="1"/>
    <col min="8638" max="8646" width="0" style="3" hidden="1" customWidth="1"/>
    <col min="8647" max="8884" width="9.140625" style="3"/>
    <col min="8885" max="8885" width="0" style="3" hidden="1" customWidth="1"/>
    <col min="8886" max="8886" width="17.7109375" style="3" customWidth="1"/>
    <col min="8887" max="8887" width="14.28515625" style="3" customWidth="1"/>
    <col min="8888" max="8888" width="13.7109375" style="3" customWidth="1"/>
    <col min="8889" max="8889" width="3.5703125" style="3" customWidth="1"/>
    <col min="8890" max="8890" width="20.42578125" style="3" customWidth="1"/>
    <col min="8891" max="8891" width="14.42578125" style="3" customWidth="1"/>
    <col min="8892" max="8892" width="15.5703125" style="3" customWidth="1"/>
    <col min="8893" max="8893" width="24.5703125" style="3" customWidth="1"/>
    <col min="8894" max="8902" width="0" style="3" hidden="1" customWidth="1"/>
    <col min="8903" max="9140" width="9.140625" style="3"/>
    <col min="9141" max="9141" width="0" style="3" hidden="1" customWidth="1"/>
    <col min="9142" max="9142" width="17.7109375" style="3" customWidth="1"/>
    <col min="9143" max="9143" width="14.28515625" style="3" customWidth="1"/>
    <col min="9144" max="9144" width="13.7109375" style="3" customWidth="1"/>
    <col min="9145" max="9145" width="3.5703125" style="3" customWidth="1"/>
    <col min="9146" max="9146" width="20.42578125" style="3" customWidth="1"/>
    <col min="9147" max="9147" width="14.42578125" style="3" customWidth="1"/>
    <col min="9148" max="9148" width="15.5703125" style="3" customWidth="1"/>
    <col min="9149" max="9149" width="24.5703125" style="3" customWidth="1"/>
    <col min="9150" max="9158" width="0" style="3" hidden="1" customWidth="1"/>
    <col min="9159" max="9396" width="9.140625" style="3"/>
    <col min="9397" max="9397" width="0" style="3" hidden="1" customWidth="1"/>
    <col min="9398" max="9398" width="17.7109375" style="3" customWidth="1"/>
    <col min="9399" max="9399" width="14.28515625" style="3" customWidth="1"/>
    <col min="9400" max="9400" width="13.7109375" style="3" customWidth="1"/>
    <col min="9401" max="9401" width="3.5703125" style="3" customWidth="1"/>
    <col min="9402" max="9402" width="20.42578125" style="3" customWidth="1"/>
    <col min="9403" max="9403" width="14.42578125" style="3" customWidth="1"/>
    <col min="9404" max="9404" width="15.5703125" style="3" customWidth="1"/>
    <col min="9405" max="9405" width="24.5703125" style="3" customWidth="1"/>
    <col min="9406" max="9414" width="0" style="3" hidden="1" customWidth="1"/>
    <col min="9415" max="9652" width="9.140625" style="3"/>
    <col min="9653" max="9653" width="0" style="3" hidden="1" customWidth="1"/>
    <col min="9654" max="9654" width="17.7109375" style="3" customWidth="1"/>
    <col min="9655" max="9655" width="14.28515625" style="3" customWidth="1"/>
    <col min="9656" max="9656" width="13.7109375" style="3" customWidth="1"/>
    <col min="9657" max="9657" width="3.5703125" style="3" customWidth="1"/>
    <col min="9658" max="9658" width="20.42578125" style="3" customWidth="1"/>
    <col min="9659" max="9659" width="14.42578125" style="3" customWidth="1"/>
    <col min="9660" max="9660" width="15.5703125" style="3" customWidth="1"/>
    <col min="9661" max="9661" width="24.5703125" style="3" customWidth="1"/>
    <col min="9662" max="9670" width="0" style="3" hidden="1" customWidth="1"/>
    <col min="9671" max="9908" width="9.140625" style="3"/>
    <col min="9909" max="9909" width="0" style="3" hidden="1" customWidth="1"/>
    <col min="9910" max="9910" width="17.7109375" style="3" customWidth="1"/>
    <col min="9911" max="9911" width="14.28515625" style="3" customWidth="1"/>
    <col min="9912" max="9912" width="13.7109375" style="3" customWidth="1"/>
    <col min="9913" max="9913" width="3.5703125" style="3" customWidth="1"/>
    <col min="9914" max="9914" width="20.42578125" style="3" customWidth="1"/>
    <col min="9915" max="9915" width="14.42578125" style="3" customWidth="1"/>
    <col min="9916" max="9916" width="15.5703125" style="3" customWidth="1"/>
    <col min="9917" max="9917" width="24.5703125" style="3" customWidth="1"/>
    <col min="9918" max="9926" width="0" style="3" hidden="1" customWidth="1"/>
    <col min="9927" max="10164" width="9.140625" style="3"/>
    <col min="10165" max="10165" width="0" style="3" hidden="1" customWidth="1"/>
    <col min="10166" max="10166" width="17.7109375" style="3" customWidth="1"/>
    <col min="10167" max="10167" width="14.28515625" style="3" customWidth="1"/>
    <col min="10168" max="10168" width="13.7109375" style="3" customWidth="1"/>
    <col min="10169" max="10169" width="3.5703125" style="3" customWidth="1"/>
    <col min="10170" max="10170" width="20.42578125" style="3" customWidth="1"/>
    <col min="10171" max="10171" width="14.42578125" style="3" customWidth="1"/>
    <col min="10172" max="10172" width="15.5703125" style="3" customWidth="1"/>
    <col min="10173" max="10173" width="24.5703125" style="3" customWidth="1"/>
    <col min="10174" max="10182" width="0" style="3" hidden="1" customWidth="1"/>
    <col min="10183" max="10420" width="9.140625" style="3"/>
    <col min="10421" max="10421" width="0" style="3" hidden="1" customWidth="1"/>
    <col min="10422" max="10422" width="17.7109375" style="3" customWidth="1"/>
    <col min="10423" max="10423" width="14.28515625" style="3" customWidth="1"/>
    <col min="10424" max="10424" width="13.7109375" style="3" customWidth="1"/>
    <col min="10425" max="10425" width="3.5703125" style="3" customWidth="1"/>
    <col min="10426" max="10426" width="20.42578125" style="3" customWidth="1"/>
    <col min="10427" max="10427" width="14.42578125" style="3" customWidth="1"/>
    <col min="10428" max="10428" width="15.5703125" style="3" customWidth="1"/>
    <col min="10429" max="10429" width="24.5703125" style="3" customWidth="1"/>
    <col min="10430" max="10438" width="0" style="3" hidden="1" customWidth="1"/>
    <col min="10439" max="10676" width="9.140625" style="3"/>
    <col min="10677" max="10677" width="0" style="3" hidden="1" customWidth="1"/>
    <col min="10678" max="10678" width="17.7109375" style="3" customWidth="1"/>
    <col min="10679" max="10679" width="14.28515625" style="3" customWidth="1"/>
    <col min="10680" max="10680" width="13.7109375" style="3" customWidth="1"/>
    <col min="10681" max="10681" width="3.5703125" style="3" customWidth="1"/>
    <col min="10682" max="10682" width="20.42578125" style="3" customWidth="1"/>
    <col min="10683" max="10683" width="14.42578125" style="3" customWidth="1"/>
    <col min="10684" max="10684" width="15.5703125" style="3" customWidth="1"/>
    <col min="10685" max="10685" width="24.5703125" style="3" customWidth="1"/>
    <col min="10686" max="10694" width="0" style="3" hidden="1" customWidth="1"/>
    <col min="10695" max="10932" width="9.140625" style="3"/>
    <col min="10933" max="10933" width="0" style="3" hidden="1" customWidth="1"/>
    <col min="10934" max="10934" width="17.7109375" style="3" customWidth="1"/>
    <col min="10935" max="10935" width="14.28515625" style="3" customWidth="1"/>
    <col min="10936" max="10936" width="13.7109375" style="3" customWidth="1"/>
    <col min="10937" max="10937" width="3.5703125" style="3" customWidth="1"/>
    <col min="10938" max="10938" width="20.42578125" style="3" customWidth="1"/>
    <col min="10939" max="10939" width="14.42578125" style="3" customWidth="1"/>
    <col min="10940" max="10940" width="15.5703125" style="3" customWidth="1"/>
    <col min="10941" max="10941" width="24.5703125" style="3" customWidth="1"/>
    <col min="10942" max="10950" width="0" style="3" hidden="1" customWidth="1"/>
    <col min="10951" max="11188" width="9.140625" style="3"/>
    <col min="11189" max="11189" width="0" style="3" hidden="1" customWidth="1"/>
    <col min="11190" max="11190" width="17.7109375" style="3" customWidth="1"/>
    <col min="11191" max="11191" width="14.28515625" style="3" customWidth="1"/>
    <col min="11192" max="11192" width="13.7109375" style="3" customWidth="1"/>
    <col min="11193" max="11193" width="3.5703125" style="3" customWidth="1"/>
    <col min="11194" max="11194" width="20.42578125" style="3" customWidth="1"/>
    <col min="11195" max="11195" width="14.42578125" style="3" customWidth="1"/>
    <col min="11196" max="11196" width="15.5703125" style="3" customWidth="1"/>
    <col min="11197" max="11197" width="24.5703125" style="3" customWidth="1"/>
    <col min="11198" max="11206" width="0" style="3" hidden="1" customWidth="1"/>
    <col min="11207" max="11444" width="9.140625" style="3"/>
    <col min="11445" max="11445" width="0" style="3" hidden="1" customWidth="1"/>
    <col min="11446" max="11446" width="17.7109375" style="3" customWidth="1"/>
    <col min="11447" max="11447" width="14.28515625" style="3" customWidth="1"/>
    <col min="11448" max="11448" width="13.7109375" style="3" customWidth="1"/>
    <col min="11449" max="11449" width="3.5703125" style="3" customWidth="1"/>
    <col min="11450" max="11450" width="20.42578125" style="3" customWidth="1"/>
    <col min="11451" max="11451" width="14.42578125" style="3" customWidth="1"/>
    <col min="11452" max="11452" width="15.5703125" style="3" customWidth="1"/>
    <col min="11453" max="11453" width="24.5703125" style="3" customWidth="1"/>
    <col min="11454" max="11462" width="0" style="3" hidden="1" customWidth="1"/>
    <col min="11463" max="11700" width="9.140625" style="3"/>
    <col min="11701" max="11701" width="0" style="3" hidden="1" customWidth="1"/>
    <col min="11702" max="11702" width="17.7109375" style="3" customWidth="1"/>
    <col min="11703" max="11703" width="14.28515625" style="3" customWidth="1"/>
    <col min="11704" max="11704" width="13.7109375" style="3" customWidth="1"/>
    <col min="11705" max="11705" width="3.5703125" style="3" customWidth="1"/>
    <col min="11706" max="11706" width="20.42578125" style="3" customWidth="1"/>
    <col min="11707" max="11707" width="14.42578125" style="3" customWidth="1"/>
    <col min="11708" max="11708" width="15.5703125" style="3" customWidth="1"/>
    <col min="11709" max="11709" width="24.5703125" style="3" customWidth="1"/>
    <col min="11710" max="11718" width="0" style="3" hidden="1" customWidth="1"/>
    <col min="11719" max="11956" width="9.140625" style="3"/>
    <col min="11957" max="11957" width="0" style="3" hidden="1" customWidth="1"/>
    <col min="11958" max="11958" width="17.7109375" style="3" customWidth="1"/>
    <col min="11959" max="11959" width="14.28515625" style="3" customWidth="1"/>
    <col min="11960" max="11960" width="13.7109375" style="3" customWidth="1"/>
    <col min="11961" max="11961" width="3.5703125" style="3" customWidth="1"/>
    <col min="11962" max="11962" width="20.42578125" style="3" customWidth="1"/>
    <col min="11963" max="11963" width="14.42578125" style="3" customWidth="1"/>
    <col min="11964" max="11964" width="15.5703125" style="3" customWidth="1"/>
    <col min="11965" max="11965" width="24.5703125" style="3" customWidth="1"/>
    <col min="11966" max="11974" width="0" style="3" hidden="1" customWidth="1"/>
    <col min="11975" max="12212" width="9.140625" style="3"/>
    <col min="12213" max="12213" width="0" style="3" hidden="1" customWidth="1"/>
    <col min="12214" max="12214" width="17.7109375" style="3" customWidth="1"/>
    <col min="12215" max="12215" width="14.28515625" style="3" customWidth="1"/>
    <col min="12216" max="12216" width="13.7109375" style="3" customWidth="1"/>
    <col min="12217" max="12217" width="3.5703125" style="3" customWidth="1"/>
    <col min="12218" max="12218" width="20.42578125" style="3" customWidth="1"/>
    <col min="12219" max="12219" width="14.42578125" style="3" customWidth="1"/>
    <col min="12220" max="12220" width="15.5703125" style="3" customWidth="1"/>
    <col min="12221" max="12221" width="24.5703125" style="3" customWidth="1"/>
    <col min="12222" max="12230" width="0" style="3" hidden="1" customWidth="1"/>
    <col min="12231" max="12468" width="9.140625" style="3"/>
    <col min="12469" max="12469" width="0" style="3" hidden="1" customWidth="1"/>
    <col min="12470" max="12470" width="17.7109375" style="3" customWidth="1"/>
    <col min="12471" max="12471" width="14.28515625" style="3" customWidth="1"/>
    <col min="12472" max="12472" width="13.7109375" style="3" customWidth="1"/>
    <col min="12473" max="12473" width="3.5703125" style="3" customWidth="1"/>
    <col min="12474" max="12474" width="20.42578125" style="3" customWidth="1"/>
    <col min="12475" max="12475" width="14.42578125" style="3" customWidth="1"/>
    <col min="12476" max="12476" width="15.5703125" style="3" customWidth="1"/>
    <col min="12477" max="12477" width="24.5703125" style="3" customWidth="1"/>
    <col min="12478" max="12486" width="0" style="3" hidden="1" customWidth="1"/>
    <col min="12487" max="12724" width="9.140625" style="3"/>
    <col min="12725" max="12725" width="0" style="3" hidden="1" customWidth="1"/>
    <col min="12726" max="12726" width="17.7109375" style="3" customWidth="1"/>
    <col min="12727" max="12727" width="14.28515625" style="3" customWidth="1"/>
    <col min="12728" max="12728" width="13.7109375" style="3" customWidth="1"/>
    <col min="12729" max="12729" width="3.5703125" style="3" customWidth="1"/>
    <col min="12730" max="12730" width="20.42578125" style="3" customWidth="1"/>
    <col min="12731" max="12731" width="14.42578125" style="3" customWidth="1"/>
    <col min="12732" max="12732" width="15.5703125" style="3" customWidth="1"/>
    <col min="12733" max="12733" width="24.5703125" style="3" customWidth="1"/>
    <col min="12734" max="12742" width="0" style="3" hidden="1" customWidth="1"/>
    <col min="12743" max="12980" width="9.140625" style="3"/>
    <col min="12981" max="12981" width="0" style="3" hidden="1" customWidth="1"/>
    <col min="12982" max="12982" width="17.7109375" style="3" customWidth="1"/>
    <col min="12983" max="12983" width="14.28515625" style="3" customWidth="1"/>
    <col min="12984" max="12984" width="13.7109375" style="3" customWidth="1"/>
    <col min="12985" max="12985" width="3.5703125" style="3" customWidth="1"/>
    <col min="12986" max="12986" width="20.42578125" style="3" customWidth="1"/>
    <col min="12987" max="12987" width="14.42578125" style="3" customWidth="1"/>
    <col min="12988" max="12988" width="15.5703125" style="3" customWidth="1"/>
    <col min="12989" max="12989" width="24.5703125" style="3" customWidth="1"/>
    <col min="12990" max="12998" width="0" style="3" hidden="1" customWidth="1"/>
    <col min="12999" max="13236" width="9.140625" style="3"/>
    <col min="13237" max="13237" width="0" style="3" hidden="1" customWidth="1"/>
    <col min="13238" max="13238" width="17.7109375" style="3" customWidth="1"/>
    <col min="13239" max="13239" width="14.28515625" style="3" customWidth="1"/>
    <col min="13240" max="13240" width="13.7109375" style="3" customWidth="1"/>
    <col min="13241" max="13241" width="3.5703125" style="3" customWidth="1"/>
    <col min="13242" max="13242" width="20.42578125" style="3" customWidth="1"/>
    <col min="13243" max="13243" width="14.42578125" style="3" customWidth="1"/>
    <col min="13244" max="13244" width="15.5703125" style="3" customWidth="1"/>
    <col min="13245" max="13245" width="24.5703125" style="3" customWidth="1"/>
    <col min="13246" max="13254" width="0" style="3" hidden="1" customWidth="1"/>
    <col min="13255" max="13492" width="9.140625" style="3"/>
    <col min="13493" max="13493" width="0" style="3" hidden="1" customWidth="1"/>
    <col min="13494" max="13494" width="17.7109375" style="3" customWidth="1"/>
    <col min="13495" max="13495" width="14.28515625" style="3" customWidth="1"/>
    <col min="13496" max="13496" width="13.7109375" style="3" customWidth="1"/>
    <col min="13497" max="13497" width="3.5703125" style="3" customWidth="1"/>
    <col min="13498" max="13498" width="20.42578125" style="3" customWidth="1"/>
    <col min="13499" max="13499" width="14.42578125" style="3" customWidth="1"/>
    <col min="13500" max="13500" width="15.5703125" style="3" customWidth="1"/>
    <col min="13501" max="13501" width="24.5703125" style="3" customWidth="1"/>
    <col min="13502" max="13510" width="0" style="3" hidden="1" customWidth="1"/>
    <col min="13511" max="13748" width="9.140625" style="3"/>
    <col min="13749" max="13749" width="0" style="3" hidden="1" customWidth="1"/>
    <col min="13750" max="13750" width="17.7109375" style="3" customWidth="1"/>
    <col min="13751" max="13751" width="14.28515625" style="3" customWidth="1"/>
    <col min="13752" max="13752" width="13.7109375" style="3" customWidth="1"/>
    <col min="13753" max="13753" width="3.5703125" style="3" customWidth="1"/>
    <col min="13754" max="13754" width="20.42578125" style="3" customWidth="1"/>
    <col min="13755" max="13755" width="14.42578125" style="3" customWidth="1"/>
    <col min="13756" max="13756" width="15.5703125" style="3" customWidth="1"/>
    <col min="13757" max="13757" width="24.5703125" style="3" customWidth="1"/>
    <col min="13758" max="13766" width="0" style="3" hidden="1" customWidth="1"/>
    <col min="13767" max="14004" width="9.140625" style="3"/>
    <col min="14005" max="14005" width="0" style="3" hidden="1" customWidth="1"/>
    <col min="14006" max="14006" width="17.7109375" style="3" customWidth="1"/>
    <col min="14007" max="14007" width="14.28515625" style="3" customWidth="1"/>
    <col min="14008" max="14008" width="13.7109375" style="3" customWidth="1"/>
    <col min="14009" max="14009" width="3.5703125" style="3" customWidth="1"/>
    <col min="14010" max="14010" width="20.42578125" style="3" customWidth="1"/>
    <col min="14011" max="14011" width="14.42578125" style="3" customWidth="1"/>
    <col min="14012" max="14012" width="15.5703125" style="3" customWidth="1"/>
    <col min="14013" max="14013" width="24.5703125" style="3" customWidth="1"/>
    <col min="14014" max="14022" width="0" style="3" hidden="1" customWidth="1"/>
    <col min="14023" max="14260" width="9.140625" style="3"/>
    <col min="14261" max="14261" width="0" style="3" hidden="1" customWidth="1"/>
    <col min="14262" max="14262" width="17.7109375" style="3" customWidth="1"/>
    <col min="14263" max="14263" width="14.28515625" style="3" customWidth="1"/>
    <col min="14264" max="14264" width="13.7109375" style="3" customWidth="1"/>
    <col min="14265" max="14265" width="3.5703125" style="3" customWidth="1"/>
    <col min="14266" max="14266" width="20.42578125" style="3" customWidth="1"/>
    <col min="14267" max="14267" width="14.42578125" style="3" customWidth="1"/>
    <col min="14268" max="14268" width="15.5703125" style="3" customWidth="1"/>
    <col min="14269" max="14269" width="24.5703125" style="3" customWidth="1"/>
    <col min="14270" max="14278" width="0" style="3" hidden="1" customWidth="1"/>
    <col min="14279" max="14516" width="9.140625" style="3"/>
    <col min="14517" max="14517" width="0" style="3" hidden="1" customWidth="1"/>
    <col min="14518" max="14518" width="17.7109375" style="3" customWidth="1"/>
    <col min="14519" max="14519" width="14.28515625" style="3" customWidth="1"/>
    <col min="14520" max="14520" width="13.7109375" style="3" customWidth="1"/>
    <col min="14521" max="14521" width="3.5703125" style="3" customWidth="1"/>
    <col min="14522" max="14522" width="20.42578125" style="3" customWidth="1"/>
    <col min="14523" max="14523" width="14.42578125" style="3" customWidth="1"/>
    <col min="14524" max="14524" width="15.5703125" style="3" customWidth="1"/>
    <col min="14525" max="14525" width="24.5703125" style="3" customWidth="1"/>
    <col min="14526" max="14534" width="0" style="3" hidden="1" customWidth="1"/>
    <col min="14535" max="14772" width="9.140625" style="3"/>
    <col min="14773" max="14773" width="0" style="3" hidden="1" customWidth="1"/>
    <col min="14774" max="14774" width="17.7109375" style="3" customWidth="1"/>
    <col min="14775" max="14775" width="14.28515625" style="3" customWidth="1"/>
    <col min="14776" max="14776" width="13.7109375" style="3" customWidth="1"/>
    <col min="14777" max="14777" width="3.5703125" style="3" customWidth="1"/>
    <col min="14778" max="14778" width="20.42578125" style="3" customWidth="1"/>
    <col min="14779" max="14779" width="14.42578125" style="3" customWidth="1"/>
    <col min="14780" max="14780" width="15.5703125" style="3" customWidth="1"/>
    <col min="14781" max="14781" width="24.5703125" style="3" customWidth="1"/>
    <col min="14782" max="14790" width="0" style="3" hidden="1" customWidth="1"/>
    <col min="14791" max="15028" width="9.140625" style="3"/>
    <col min="15029" max="15029" width="0" style="3" hidden="1" customWidth="1"/>
    <col min="15030" max="15030" width="17.7109375" style="3" customWidth="1"/>
    <col min="15031" max="15031" width="14.28515625" style="3" customWidth="1"/>
    <col min="15032" max="15032" width="13.7109375" style="3" customWidth="1"/>
    <col min="15033" max="15033" width="3.5703125" style="3" customWidth="1"/>
    <col min="15034" max="15034" width="20.42578125" style="3" customWidth="1"/>
    <col min="15035" max="15035" width="14.42578125" style="3" customWidth="1"/>
    <col min="15036" max="15036" width="15.5703125" style="3" customWidth="1"/>
    <col min="15037" max="15037" width="24.5703125" style="3" customWidth="1"/>
    <col min="15038" max="15046" width="0" style="3" hidden="1" customWidth="1"/>
    <col min="15047" max="15284" width="9.140625" style="3"/>
    <col min="15285" max="15285" width="0" style="3" hidden="1" customWidth="1"/>
    <col min="15286" max="15286" width="17.7109375" style="3" customWidth="1"/>
    <col min="15287" max="15287" width="14.28515625" style="3" customWidth="1"/>
    <col min="15288" max="15288" width="13.7109375" style="3" customWidth="1"/>
    <col min="15289" max="15289" width="3.5703125" style="3" customWidth="1"/>
    <col min="15290" max="15290" width="20.42578125" style="3" customWidth="1"/>
    <col min="15291" max="15291" width="14.42578125" style="3" customWidth="1"/>
    <col min="15292" max="15292" width="15.5703125" style="3" customWidth="1"/>
    <col min="15293" max="15293" width="24.5703125" style="3" customWidth="1"/>
    <col min="15294" max="15302" width="0" style="3" hidden="1" customWidth="1"/>
    <col min="15303" max="15540" width="9.140625" style="3"/>
    <col min="15541" max="15541" width="0" style="3" hidden="1" customWidth="1"/>
    <col min="15542" max="15542" width="17.7109375" style="3" customWidth="1"/>
    <col min="15543" max="15543" width="14.28515625" style="3" customWidth="1"/>
    <col min="15544" max="15544" width="13.7109375" style="3" customWidth="1"/>
    <col min="15545" max="15545" width="3.5703125" style="3" customWidth="1"/>
    <col min="15546" max="15546" width="20.42578125" style="3" customWidth="1"/>
    <col min="15547" max="15547" width="14.42578125" style="3" customWidth="1"/>
    <col min="15548" max="15548" width="15.5703125" style="3" customWidth="1"/>
    <col min="15549" max="15549" width="24.5703125" style="3" customWidth="1"/>
    <col min="15550" max="15558" width="0" style="3" hidden="1" customWidth="1"/>
    <col min="15559" max="15796" width="9.140625" style="3"/>
    <col min="15797" max="15797" width="0" style="3" hidden="1" customWidth="1"/>
    <col min="15798" max="15798" width="17.7109375" style="3" customWidth="1"/>
    <col min="15799" max="15799" width="14.28515625" style="3" customWidth="1"/>
    <col min="15800" max="15800" width="13.7109375" style="3" customWidth="1"/>
    <col min="15801" max="15801" width="3.5703125" style="3" customWidth="1"/>
    <col min="15802" max="15802" width="20.42578125" style="3" customWidth="1"/>
    <col min="15803" max="15803" width="14.42578125" style="3" customWidth="1"/>
    <col min="15804" max="15804" width="15.5703125" style="3" customWidth="1"/>
    <col min="15805" max="15805" width="24.5703125" style="3" customWidth="1"/>
    <col min="15806" max="15814" width="0" style="3" hidden="1" customWidth="1"/>
    <col min="15815" max="16052" width="9.140625" style="3"/>
    <col min="16053" max="16053" width="0" style="3" hidden="1" customWidth="1"/>
    <col min="16054" max="16054" width="17.7109375" style="3" customWidth="1"/>
    <col min="16055" max="16055" width="14.28515625" style="3" customWidth="1"/>
    <col min="16056" max="16056" width="13.7109375" style="3" customWidth="1"/>
    <col min="16057" max="16057" width="3.5703125" style="3" customWidth="1"/>
    <col min="16058" max="16058" width="20.42578125" style="3" customWidth="1"/>
    <col min="16059" max="16059" width="14.42578125" style="3" customWidth="1"/>
    <col min="16060" max="16060" width="15.5703125" style="3" customWidth="1"/>
    <col min="16061" max="16061" width="24.5703125" style="3" customWidth="1"/>
    <col min="16062" max="16070" width="0" style="3" hidden="1" customWidth="1"/>
    <col min="16071" max="16319" width="9.140625" style="3"/>
    <col min="16320" max="16384" width="9.28515625" style="3" customWidth="1"/>
  </cols>
  <sheetData>
    <row r="6" spans="1:14" ht="14.25" thickBot="1"/>
    <row r="7" spans="1:14" ht="22.5">
      <c r="A7" s="2"/>
      <c r="B7" s="92" t="s">
        <v>22</v>
      </c>
      <c r="C7" s="92"/>
      <c r="D7" s="92"/>
      <c r="E7" s="92"/>
      <c r="F7" s="92"/>
      <c r="G7" s="75"/>
    </row>
    <row r="8" spans="1:14" ht="22.5">
      <c r="A8" s="4"/>
      <c r="B8" s="93" t="s">
        <v>19</v>
      </c>
      <c r="C8" s="93"/>
      <c r="D8" s="93"/>
      <c r="E8" s="93"/>
      <c r="F8" s="93"/>
      <c r="G8" s="59"/>
    </row>
    <row r="9" spans="1:14" s="8" customFormat="1" ht="30">
      <c r="A9" s="7"/>
      <c r="B9" s="28" t="s">
        <v>0</v>
      </c>
      <c r="C9" s="29" t="s">
        <v>1</v>
      </c>
      <c r="D9" s="36" t="s">
        <v>2</v>
      </c>
      <c r="E9" s="36" t="s">
        <v>3</v>
      </c>
      <c r="F9" s="37" t="s">
        <v>4</v>
      </c>
      <c r="G9" s="60"/>
    </row>
    <row r="10" spans="1:14" s="13" customFormat="1" ht="16.5">
      <c r="A10" s="9"/>
      <c r="B10" s="10" t="s">
        <v>11</v>
      </c>
      <c r="C10" s="1">
        <v>18655</v>
      </c>
      <c r="D10" s="11">
        <v>4</v>
      </c>
      <c r="E10" s="14">
        <v>104</v>
      </c>
      <c r="F10" s="33">
        <f>E10*C10/26</f>
        <v>74620</v>
      </c>
      <c r="G10" s="61">
        <f>15000*E10/26</f>
        <v>60000</v>
      </c>
      <c r="H10" s="12"/>
      <c r="J10" s="11">
        <f>D10</f>
        <v>4</v>
      </c>
      <c r="L10" s="13">
        <f>J10*27</f>
        <v>108</v>
      </c>
      <c r="N10" s="13">
        <f>J10*4</f>
        <v>16</v>
      </c>
    </row>
    <row r="11" spans="1:14" s="13" customFormat="1" ht="16.5">
      <c r="A11" s="9"/>
      <c r="B11" s="10" t="s">
        <v>11</v>
      </c>
      <c r="C11" s="1">
        <v>18655</v>
      </c>
      <c r="D11" s="11">
        <v>67</v>
      </c>
      <c r="E11" s="14">
        <v>1737.4537499999999</v>
      </c>
      <c r="F11" s="33">
        <f t="shared" ref="F11:F15" si="0">E11*C11/26</f>
        <v>1246623.0656249998</v>
      </c>
      <c r="G11" s="61">
        <f>15000*E11/26</f>
        <v>1002377.1634615385</v>
      </c>
      <c r="H11" s="12"/>
      <c r="J11" s="11">
        <f t="shared" ref="J11:J15" si="1">D11</f>
        <v>67</v>
      </c>
      <c r="L11" s="13">
        <f t="shared" ref="L11:L15" si="2">J11*27</f>
        <v>1809</v>
      </c>
      <c r="N11" s="13">
        <f t="shared" ref="N11:N15" si="3">J11*4</f>
        <v>268</v>
      </c>
    </row>
    <row r="12" spans="1:14" s="13" customFormat="1" ht="16.5">
      <c r="A12" s="9"/>
      <c r="B12" s="10" t="s">
        <v>20</v>
      </c>
      <c r="C12" s="1">
        <v>12675</v>
      </c>
      <c r="D12" s="14">
        <v>5</v>
      </c>
      <c r="E12" s="14">
        <v>130</v>
      </c>
      <c r="F12" s="33">
        <f t="shared" si="0"/>
        <v>63375</v>
      </c>
      <c r="G12" s="61">
        <f>F12</f>
        <v>63375</v>
      </c>
      <c r="H12" s="12"/>
      <c r="J12" s="11">
        <f t="shared" si="1"/>
        <v>5</v>
      </c>
      <c r="L12" s="13">
        <f t="shared" si="2"/>
        <v>135</v>
      </c>
      <c r="N12" s="13">
        <f t="shared" si="3"/>
        <v>20</v>
      </c>
    </row>
    <row r="13" spans="1:14" s="13" customFormat="1" ht="16.5">
      <c r="A13" s="9"/>
      <c r="B13" s="10" t="s">
        <v>13</v>
      </c>
      <c r="C13" s="1">
        <v>12675</v>
      </c>
      <c r="D13" s="15">
        <v>197</v>
      </c>
      <c r="E13" s="14">
        <v>5101.4925000000003</v>
      </c>
      <c r="F13" s="33">
        <f t="shared" si="0"/>
        <v>2486977.59375</v>
      </c>
      <c r="G13" s="61">
        <f t="shared" ref="G13:G15" si="4">F13</f>
        <v>2486977.59375</v>
      </c>
      <c r="H13" s="12"/>
      <c r="J13" s="11">
        <f t="shared" si="1"/>
        <v>197</v>
      </c>
      <c r="L13" s="13">
        <f t="shared" si="2"/>
        <v>5319</v>
      </c>
      <c r="N13" s="13">
        <f t="shared" si="3"/>
        <v>788</v>
      </c>
    </row>
    <row r="14" spans="1:14" s="13" customFormat="1" ht="16.5">
      <c r="A14" s="9"/>
      <c r="B14" s="10" t="s">
        <v>52</v>
      </c>
      <c r="C14" s="1">
        <v>11176</v>
      </c>
      <c r="D14" s="15">
        <v>2</v>
      </c>
      <c r="E14" s="14">
        <v>52</v>
      </c>
      <c r="F14" s="33">
        <f t="shared" si="0"/>
        <v>22352</v>
      </c>
      <c r="G14" s="61">
        <f t="shared" si="4"/>
        <v>22352</v>
      </c>
      <c r="H14" s="12"/>
      <c r="J14" s="11">
        <f t="shared" si="1"/>
        <v>2</v>
      </c>
      <c r="L14" s="13">
        <f t="shared" si="2"/>
        <v>54</v>
      </c>
      <c r="N14" s="13">
        <f t="shared" si="3"/>
        <v>8</v>
      </c>
    </row>
    <row r="15" spans="1:14" s="13" customFormat="1" ht="16.5">
      <c r="A15" s="9"/>
      <c r="B15" s="16" t="s">
        <v>15</v>
      </c>
      <c r="C15" s="1">
        <v>11176</v>
      </c>
      <c r="D15" s="15">
        <v>67</v>
      </c>
      <c r="E15" s="14">
        <v>1742</v>
      </c>
      <c r="F15" s="33">
        <f t="shared" si="0"/>
        <v>748792</v>
      </c>
      <c r="G15" s="61">
        <f t="shared" si="4"/>
        <v>748792</v>
      </c>
      <c r="H15" s="12"/>
      <c r="J15" s="11">
        <f t="shared" si="1"/>
        <v>67</v>
      </c>
      <c r="L15" s="13">
        <f t="shared" si="2"/>
        <v>1809</v>
      </c>
      <c r="N15" s="13">
        <f t="shared" si="3"/>
        <v>268</v>
      </c>
    </row>
    <row r="16" spans="1:14" s="19" customFormat="1" ht="15.75">
      <c r="A16" s="17"/>
      <c r="B16" s="106" t="s">
        <v>5</v>
      </c>
      <c r="C16" s="106"/>
      <c r="D16" s="106"/>
      <c r="E16" s="106"/>
      <c r="F16" s="34">
        <f>SUM(F10:F15)</f>
        <v>4642739.6593749998</v>
      </c>
      <c r="G16" s="62">
        <f>SUM(G10:G15)</f>
        <v>4383873.757211538</v>
      </c>
      <c r="H16" s="18"/>
    </row>
    <row r="17" spans="1:16" s="21" customFormat="1" ht="15">
      <c r="A17" s="20"/>
      <c r="B17" s="35" t="s">
        <v>0</v>
      </c>
      <c r="C17" s="29" t="s">
        <v>6</v>
      </c>
      <c r="D17" s="29" t="s">
        <v>2</v>
      </c>
      <c r="E17" s="29" t="s">
        <v>40</v>
      </c>
      <c r="F17" s="31" t="s">
        <v>4</v>
      </c>
      <c r="G17" s="63"/>
    </row>
    <row r="18" spans="1:16" s="21" customFormat="1" ht="16.5">
      <c r="A18" s="20"/>
      <c r="B18" s="10" t="s">
        <v>12</v>
      </c>
      <c r="C18" s="30">
        <v>179</v>
      </c>
      <c r="D18" s="11">
        <f>D11</f>
        <v>67</v>
      </c>
      <c r="E18" s="30">
        <v>6621.7</v>
      </c>
      <c r="F18" s="33">
        <f>E18*C18</f>
        <v>1185284.3</v>
      </c>
      <c r="G18" s="63"/>
    </row>
    <row r="19" spans="1:16" s="13" customFormat="1" ht="16.5">
      <c r="A19" s="9"/>
      <c r="B19" s="10" t="s">
        <v>13</v>
      </c>
      <c r="C19" s="30">
        <v>122</v>
      </c>
      <c r="D19" s="11">
        <f>D13</f>
        <v>197</v>
      </c>
      <c r="E19" s="30">
        <v>19282.18</v>
      </c>
      <c r="F19" s="33">
        <f>E19*C19</f>
        <v>2352425.96</v>
      </c>
      <c r="G19" s="61"/>
      <c r="I19" s="13">
        <v>100</v>
      </c>
      <c r="J19" s="13">
        <f>I19*D19</f>
        <v>19700</v>
      </c>
      <c r="L19" s="13">
        <f>E11</f>
        <v>1737.4537499999999</v>
      </c>
      <c r="M19" s="13">
        <f>L19*4</f>
        <v>6949.8149999999996</v>
      </c>
      <c r="N19" s="13">
        <f>M19-D11</f>
        <v>6882.8149999999996</v>
      </c>
      <c r="P19" s="13">
        <f>L11*4</f>
        <v>7236</v>
      </c>
    </row>
    <row r="20" spans="1:16" s="13" customFormat="1" ht="16.5">
      <c r="A20" s="9"/>
      <c r="B20" s="16" t="s">
        <v>15</v>
      </c>
      <c r="C20" s="30">
        <v>108</v>
      </c>
      <c r="D20" s="11">
        <f>D15</f>
        <v>67</v>
      </c>
      <c r="E20" s="30">
        <v>6530.86</v>
      </c>
      <c r="F20" s="58">
        <f>E20*C20</f>
        <v>705332.88</v>
      </c>
      <c r="G20" s="64"/>
      <c r="I20" s="13">
        <v>100</v>
      </c>
      <c r="J20" s="13">
        <f t="shared" ref="J20" si="5">I20*D20</f>
        <v>6700</v>
      </c>
      <c r="L20" s="13">
        <f>E13</f>
        <v>5101.4925000000003</v>
      </c>
      <c r="M20" s="13">
        <f t="shared" ref="M20" si="6">L20*4</f>
        <v>20405.97</v>
      </c>
      <c r="N20" s="13">
        <f>M20-D13</f>
        <v>20208.97</v>
      </c>
    </row>
    <row r="21" spans="1:16" s="13" customFormat="1" ht="15.75">
      <c r="A21" s="9"/>
      <c r="B21" s="106" t="s">
        <v>8</v>
      </c>
      <c r="C21" s="106"/>
      <c r="D21" s="106"/>
      <c r="E21" s="106"/>
      <c r="F21" s="34">
        <f>SUM(F18:F20)</f>
        <v>4243043.1399999997</v>
      </c>
      <c r="G21" s="62"/>
      <c r="H21" s="42">
        <f>4659204-F21</f>
        <v>416160.86000000034</v>
      </c>
      <c r="L21" s="13">
        <f>E15</f>
        <v>1742</v>
      </c>
      <c r="M21" s="13">
        <f>L21*4</f>
        <v>6968</v>
      </c>
      <c r="N21" s="13">
        <f>M21-D14</f>
        <v>6966</v>
      </c>
    </row>
    <row r="22" spans="1:16" s="13" customFormat="1" ht="30">
      <c r="A22" s="9"/>
      <c r="B22" s="35" t="s">
        <v>0</v>
      </c>
      <c r="C22" s="29" t="s">
        <v>23</v>
      </c>
      <c r="D22" s="29" t="s">
        <v>2</v>
      </c>
      <c r="E22" s="29" t="s">
        <v>31</v>
      </c>
      <c r="F22" s="31" t="s">
        <v>4</v>
      </c>
      <c r="G22" s="63"/>
    </row>
    <row r="23" spans="1:16" s="13" customFormat="1" ht="16.5">
      <c r="A23" s="9"/>
      <c r="B23" s="10" t="s">
        <v>11</v>
      </c>
      <c r="C23" s="32">
        <v>717.5</v>
      </c>
      <c r="D23" s="11">
        <f t="shared" ref="D23:D28" si="7">D10</f>
        <v>4</v>
      </c>
      <c r="E23" s="11">
        <v>16</v>
      </c>
      <c r="F23" s="33">
        <f>E23*C23</f>
        <v>11480</v>
      </c>
      <c r="G23" s="61"/>
      <c r="H23" s="13">
        <f t="shared" ref="H23:H28" si="8">E23+E10</f>
        <v>120</v>
      </c>
      <c r="J23" s="13">
        <f>D23*4</f>
        <v>16</v>
      </c>
      <c r="M23" s="13">
        <f>C10/26</f>
        <v>717.5</v>
      </c>
    </row>
    <row r="24" spans="1:16" s="13" customFormat="1" ht="16.5">
      <c r="A24" s="9"/>
      <c r="B24" s="10" t="s">
        <v>11</v>
      </c>
      <c r="C24" s="32">
        <v>717.5</v>
      </c>
      <c r="D24" s="11">
        <f t="shared" si="7"/>
        <v>67</v>
      </c>
      <c r="E24" s="11">
        <v>262.12374999999997</v>
      </c>
      <c r="F24" s="33">
        <f t="shared" ref="F24:F26" si="9">E24*C24</f>
        <v>188073.79062499999</v>
      </c>
      <c r="G24" s="61"/>
      <c r="H24" s="13">
        <f t="shared" si="8"/>
        <v>1999.5774999999999</v>
      </c>
      <c r="J24" s="13">
        <f t="shared" ref="J24:J28" si="10">D24*4</f>
        <v>268</v>
      </c>
      <c r="M24" s="13">
        <f>C12/26</f>
        <v>487.5</v>
      </c>
    </row>
    <row r="25" spans="1:16" s="13" customFormat="1" ht="16.5">
      <c r="A25" s="9"/>
      <c r="B25" s="10" t="s">
        <v>20</v>
      </c>
      <c r="C25" s="32">
        <v>487.5</v>
      </c>
      <c r="D25" s="11">
        <f t="shared" si="7"/>
        <v>5</v>
      </c>
      <c r="E25" s="11">
        <v>20</v>
      </c>
      <c r="F25" s="33">
        <f t="shared" si="9"/>
        <v>9750</v>
      </c>
      <c r="G25" s="61"/>
      <c r="H25" s="13">
        <f t="shared" si="8"/>
        <v>150</v>
      </c>
      <c r="J25" s="13">
        <f t="shared" si="10"/>
        <v>20</v>
      </c>
      <c r="M25" s="13">
        <f>C14/26</f>
        <v>429.84615384615387</v>
      </c>
    </row>
    <row r="26" spans="1:16" s="13" customFormat="1" ht="16.5">
      <c r="A26" s="9"/>
      <c r="B26" s="10" t="s">
        <v>13</v>
      </c>
      <c r="C26" s="32">
        <v>487.5</v>
      </c>
      <c r="D26" s="11">
        <f t="shared" si="7"/>
        <v>197</v>
      </c>
      <c r="E26" s="11">
        <v>771.42875000000004</v>
      </c>
      <c r="F26" s="33">
        <f t="shared" si="9"/>
        <v>376071.515625</v>
      </c>
      <c r="G26" s="61"/>
      <c r="H26" s="13">
        <f t="shared" si="8"/>
        <v>5872.9212500000003</v>
      </c>
      <c r="J26" s="13">
        <f t="shared" si="10"/>
        <v>788</v>
      </c>
    </row>
    <row r="27" spans="1:16" s="13" customFormat="1" ht="16.5">
      <c r="A27" s="9"/>
      <c r="B27" s="10" t="s">
        <v>52</v>
      </c>
      <c r="C27" s="32">
        <v>430</v>
      </c>
      <c r="D27" s="11">
        <f t="shared" si="7"/>
        <v>2</v>
      </c>
      <c r="E27" s="11">
        <v>8</v>
      </c>
      <c r="F27" s="33">
        <v>3439</v>
      </c>
      <c r="G27" s="61"/>
      <c r="H27" s="13">
        <f t="shared" si="8"/>
        <v>60</v>
      </c>
      <c r="J27" s="13">
        <f t="shared" si="10"/>
        <v>8</v>
      </c>
    </row>
    <row r="28" spans="1:16" s="13" customFormat="1" ht="16.5">
      <c r="A28" s="9"/>
      <c r="B28" s="16" t="s">
        <v>15</v>
      </c>
      <c r="C28" s="32">
        <v>430</v>
      </c>
      <c r="D28" s="11">
        <f t="shared" si="7"/>
        <v>67</v>
      </c>
      <c r="E28" s="11">
        <v>264.76</v>
      </c>
      <c r="F28" s="33">
        <v>113806</v>
      </c>
      <c r="G28" s="61"/>
      <c r="H28" s="13">
        <f t="shared" si="8"/>
        <v>2006.76</v>
      </c>
      <c r="J28" s="13">
        <f t="shared" si="10"/>
        <v>268</v>
      </c>
    </row>
    <row r="29" spans="1:16" s="13" customFormat="1" ht="15.75">
      <c r="A29" s="9"/>
      <c r="B29" s="98" t="s">
        <v>21</v>
      </c>
      <c r="C29" s="99"/>
      <c r="D29" s="99"/>
      <c r="E29" s="100"/>
      <c r="F29" s="34">
        <f>SUM(F23:F28)</f>
        <v>702620.30625000002</v>
      </c>
      <c r="G29" s="62"/>
      <c r="H29" s="13">
        <f>SUM(H23:H28)</f>
        <v>10209.258750000001</v>
      </c>
    </row>
    <row r="30" spans="1:16" s="13" customFormat="1" ht="15.75">
      <c r="A30" s="6"/>
      <c r="B30" s="98" t="s">
        <v>30</v>
      </c>
      <c r="C30" s="99"/>
      <c r="D30" s="99"/>
      <c r="E30" s="100"/>
      <c r="F30" s="34">
        <f>F29+F21+F16</f>
        <v>9588403.1056249999</v>
      </c>
      <c r="G30" s="62"/>
    </row>
    <row r="31" spans="1:16" s="13" customFormat="1" ht="16.5">
      <c r="A31" s="9" t="s">
        <v>9</v>
      </c>
      <c r="B31" s="101" t="s">
        <v>16</v>
      </c>
      <c r="C31" s="102"/>
      <c r="D31" s="103"/>
      <c r="E31" s="38">
        <v>3.2500000000000001E-2</v>
      </c>
      <c r="F31" s="33">
        <f>F30*E31</f>
        <v>311623.10093281249</v>
      </c>
      <c r="G31" s="61"/>
    </row>
    <row r="32" spans="1:16" s="13" customFormat="1" ht="16.5">
      <c r="A32" s="9"/>
      <c r="B32" s="101" t="s">
        <v>53</v>
      </c>
      <c r="C32" s="102"/>
      <c r="D32" s="103"/>
      <c r="E32" s="39">
        <v>0.13</v>
      </c>
      <c r="F32" s="33">
        <f>G32</f>
        <v>569903.58843749994</v>
      </c>
      <c r="G32" s="61">
        <f>G16*E32</f>
        <v>569903.58843749994</v>
      </c>
    </row>
    <row r="33" spans="1:11" s="13" customFormat="1" ht="16.5">
      <c r="A33" s="9"/>
      <c r="B33" s="101" t="s">
        <v>17</v>
      </c>
      <c r="C33" s="102"/>
      <c r="D33" s="103"/>
      <c r="E33" s="39">
        <v>0.09</v>
      </c>
      <c r="F33" s="33">
        <f>F30*E33</f>
        <v>862956.27950624994</v>
      </c>
      <c r="G33" s="61"/>
    </row>
    <row r="34" spans="1:11" s="13" customFormat="1" ht="15.75">
      <c r="A34" s="9"/>
      <c r="B34" s="98" t="s">
        <v>24</v>
      </c>
      <c r="C34" s="99"/>
      <c r="D34" s="99"/>
      <c r="E34" s="100"/>
      <c r="F34" s="34">
        <f>SUM(F30:F33)</f>
        <v>11332886.074501561</v>
      </c>
      <c r="G34" s="62"/>
    </row>
    <row r="35" spans="1:11" s="13" customFormat="1" ht="16.5">
      <c r="A35" s="9"/>
      <c r="B35" s="89" t="s">
        <v>25</v>
      </c>
      <c r="C35" s="90"/>
      <c r="D35" s="91"/>
      <c r="E35" s="40">
        <v>0.09</v>
      </c>
      <c r="F35" s="33">
        <f>F34*E35</f>
        <v>1019959.7467051405</v>
      </c>
      <c r="G35" s="61"/>
    </row>
    <row r="36" spans="1:11" s="13" customFormat="1" ht="16.5">
      <c r="A36" s="9"/>
      <c r="B36" s="89" t="s">
        <v>26</v>
      </c>
      <c r="C36" s="90"/>
      <c r="D36" s="91"/>
      <c r="E36" s="40">
        <v>0.09</v>
      </c>
      <c r="F36" s="33">
        <f>F34*E36</f>
        <v>1019959.7467051405</v>
      </c>
      <c r="G36" s="61"/>
    </row>
    <row r="37" spans="1:11" s="13" customFormat="1" ht="15.75">
      <c r="A37" s="9"/>
      <c r="B37" s="80" t="s">
        <v>41</v>
      </c>
      <c r="C37" s="81"/>
      <c r="D37" s="81"/>
      <c r="E37" s="82"/>
      <c r="F37" s="34">
        <f>F35+F34+F36</f>
        <v>13372805.567911843</v>
      </c>
      <c r="G37" s="62"/>
      <c r="H37" s="42">
        <v>13412515.380000001</v>
      </c>
      <c r="I37" s="42">
        <f>H37-F37</f>
        <v>39709.812088157982</v>
      </c>
    </row>
    <row r="38" spans="1:11" s="13" customFormat="1" ht="16.5">
      <c r="A38" s="6"/>
      <c r="B38" s="83" t="s">
        <v>27</v>
      </c>
      <c r="C38" s="84"/>
      <c r="D38" s="84"/>
      <c r="E38" s="56">
        <v>1E-3</v>
      </c>
      <c r="F38" s="33">
        <f>F34*E38</f>
        <v>11332.886074501561</v>
      </c>
      <c r="G38" s="61"/>
      <c r="K38" s="42" t="e">
        <f>F33+#REF!</f>
        <v>#REF!</v>
      </c>
    </row>
    <row r="39" spans="1:11" s="13" customFormat="1" ht="16.5">
      <c r="A39" s="6"/>
      <c r="B39" s="83" t="s">
        <v>28</v>
      </c>
      <c r="C39" s="84"/>
      <c r="D39" s="85"/>
      <c r="E39" s="41">
        <v>0.01</v>
      </c>
      <c r="F39" s="33">
        <f>F34*E39</f>
        <v>113328.86074501561</v>
      </c>
      <c r="G39" s="61"/>
    </row>
    <row r="40" spans="1:11" s="13" customFormat="1" ht="16.5">
      <c r="A40" s="6"/>
      <c r="B40" s="83" t="s">
        <v>29</v>
      </c>
      <c r="C40" s="84"/>
      <c r="D40" s="85"/>
      <c r="E40" s="41">
        <v>0.01</v>
      </c>
      <c r="F40" s="33">
        <f>F34*E40</f>
        <v>113328.86074501561</v>
      </c>
      <c r="G40" s="61"/>
    </row>
    <row r="41" spans="1:11" ht="15">
      <c r="A41" s="4"/>
      <c r="B41" s="86" t="s">
        <v>10</v>
      </c>
      <c r="C41" s="87"/>
      <c r="D41" s="87"/>
      <c r="E41" s="88"/>
      <c r="F41" s="34">
        <f>F37-F38-F39-F40</f>
        <v>13134814.960347308</v>
      </c>
      <c r="G41" s="62"/>
      <c r="H41" s="22" t="e">
        <f>F41+#REF!</f>
        <v>#REF!</v>
      </c>
      <c r="I41" s="22"/>
      <c r="K41" s="22" t="e">
        <f>F41+#REF!</f>
        <v>#REF!</v>
      </c>
    </row>
    <row r="49" spans="1:8" ht="15">
      <c r="H49" s="24"/>
    </row>
    <row r="50" spans="1:8" ht="60.75">
      <c r="A50" s="53" t="s">
        <v>47</v>
      </c>
      <c r="B50" s="104" t="s">
        <v>50</v>
      </c>
      <c r="C50" s="105"/>
      <c r="D50" s="54" t="s">
        <v>48</v>
      </c>
      <c r="H50" s="25"/>
    </row>
    <row r="51" spans="1:8" ht="20.25">
      <c r="A51" s="49">
        <v>1</v>
      </c>
      <c r="B51" s="44" t="s">
        <v>49</v>
      </c>
      <c r="C51" s="45" t="e">
        <f>F30+#REF!</f>
        <v>#REF!</v>
      </c>
      <c r="D51" s="51" t="e">
        <f>F16+#REF!</f>
        <v>#REF!</v>
      </c>
      <c r="H51" s="26"/>
    </row>
    <row r="52" spans="1:8" ht="20.25">
      <c r="A52" s="49">
        <v>2</v>
      </c>
      <c r="B52" s="44" t="s">
        <v>42</v>
      </c>
      <c r="C52" s="50"/>
      <c r="D52" s="49" t="e">
        <f>D51*12/100</f>
        <v>#REF!</v>
      </c>
      <c r="H52" s="26"/>
    </row>
    <row r="53" spans="1:8" ht="20.25">
      <c r="A53" s="49">
        <v>3</v>
      </c>
      <c r="B53" s="44" t="s">
        <v>43</v>
      </c>
      <c r="C53" s="52" t="e">
        <f>C51*0.75/100</f>
        <v>#REF!</v>
      </c>
      <c r="D53" s="46"/>
      <c r="H53" s="26"/>
    </row>
    <row r="54" spans="1:8" ht="60.75">
      <c r="A54" s="49">
        <v>4</v>
      </c>
      <c r="B54" s="47" t="s">
        <v>44</v>
      </c>
      <c r="C54" s="52" t="e">
        <f>C51-D52-C53</f>
        <v>#REF!</v>
      </c>
      <c r="D54" s="46"/>
      <c r="H54" s="26"/>
    </row>
    <row r="55" spans="1:8" ht="60.75">
      <c r="A55" s="49">
        <v>5</v>
      </c>
      <c r="B55" s="48" t="s">
        <v>45</v>
      </c>
      <c r="C55" s="52">
        <v>15621150</v>
      </c>
      <c r="D55" s="46"/>
      <c r="H55" s="26"/>
    </row>
    <row r="56" spans="1:8" ht="20.25">
      <c r="A56" s="49">
        <v>6</v>
      </c>
      <c r="B56" s="44" t="s">
        <v>46</v>
      </c>
      <c r="C56" s="55" t="e">
        <f>C54-C55</f>
        <v>#REF!</v>
      </c>
      <c r="D56" s="46"/>
      <c r="H56" s="26"/>
    </row>
  </sheetData>
  <mergeCells count="18">
    <mergeCell ref="B30:E30"/>
    <mergeCell ref="B7:F7"/>
    <mergeCell ref="B8:F8"/>
    <mergeCell ref="B16:E16"/>
    <mergeCell ref="B21:E21"/>
    <mergeCell ref="B29:E29"/>
    <mergeCell ref="B50:C50"/>
    <mergeCell ref="B31:D31"/>
    <mergeCell ref="B32:D32"/>
    <mergeCell ref="B33:D33"/>
    <mergeCell ref="B34:E34"/>
    <mergeCell ref="B35:D35"/>
    <mergeCell ref="B36:D36"/>
    <mergeCell ref="B37:E37"/>
    <mergeCell ref="B38:D38"/>
    <mergeCell ref="B39:D39"/>
    <mergeCell ref="B40:D40"/>
    <mergeCell ref="B41:E41"/>
  </mergeCells>
  <pageMargins left="1.66" right="0.38" top="0.22" bottom="0.2" header="0.3" footer="0.3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Zone 4 Aug-25 </vt:lpstr>
      <vt:lpstr> Zone 5 Aug-25 </vt:lpstr>
      <vt:lpstr>' Zone 4 Aug-25 '!Print_Area</vt:lpstr>
      <vt:lpstr>' Zone 5 Aug-25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cp:lastPrinted>2025-09-16T11:52:47Z</cp:lastPrinted>
  <dcterms:created xsi:type="dcterms:W3CDTF">2024-05-10T06:52:40Z</dcterms:created>
  <dcterms:modified xsi:type="dcterms:W3CDTF">2025-11-18T10:46:39Z</dcterms:modified>
</cp:coreProperties>
</file>